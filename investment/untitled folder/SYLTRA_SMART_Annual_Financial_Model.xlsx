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افتراضات" sheetId="1" state="visible" r:id="rId1"/>
    <sheet xmlns:r="http://schemas.openxmlformats.org/officeDocument/2006/relationships" name="الأداء الشهري" sheetId="2" state="visible" r:id="rId2"/>
    <sheet xmlns:r="http://schemas.openxmlformats.org/officeDocument/2006/relationships" name="الملخص السنوي" sheetId="3" state="visible" r:id="rId3"/>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2">
    <font>
      <name val="Calibri"/>
      <family val="2"/>
      <color theme="1"/>
      <sz val="11"/>
      <scheme val="minor"/>
    </font>
    <font>
      <name val="Arial"/>
      <b val="1"/>
      <color rgb="00FFFFFF"/>
      <sz val="14"/>
    </font>
    <font>
      <name val="Arial"/>
      <b val="1"/>
      <color rgb="00FFFFFF"/>
      <sz val="11"/>
    </font>
    <font>
      <name val="Arial"/>
      <sz val="10"/>
    </font>
    <font>
      <name val="Arial"/>
      <color rgb="000000FF"/>
      <sz val="10"/>
    </font>
    <font>
      <name val="Arial"/>
      <b val="1"/>
      <sz val="10"/>
    </font>
    <font>
      <name val="Arial"/>
      <b val="1"/>
      <color rgb="00000000"/>
      <sz val="10"/>
    </font>
    <font>
      <name val="Arial"/>
      <b val="1"/>
      <color rgb="00FFFFFF"/>
      <sz val="9"/>
    </font>
    <font>
      <name val="Arial"/>
      <i val="1"/>
      <color rgb="005B616B"/>
      <sz val="9"/>
    </font>
    <font>
      <name val="Arial"/>
      <color rgb="00008000"/>
      <sz val="10"/>
    </font>
    <font>
      <name val="Arial"/>
      <color rgb="00000000"/>
      <sz val="10"/>
    </font>
    <font>
      <name val="Arial"/>
      <b val="1"/>
      <color rgb="00008000"/>
      <sz val="10"/>
    </font>
  </fonts>
  <fills count="5">
    <fill>
      <patternFill/>
    </fill>
    <fill>
      <patternFill patternType="gray125"/>
    </fill>
    <fill>
      <patternFill patternType="solid">
        <fgColor rgb="000B0C0E"/>
      </patternFill>
    </fill>
    <fill>
      <patternFill patternType="solid">
        <fgColor rgb="000A5FFF"/>
      </patternFill>
    </fill>
    <fill>
      <patternFill patternType="solid">
        <fgColor rgb="00FFFDE7"/>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right" vertical="center"/>
    </xf>
    <xf numFmtId="0" fontId="2" fillId="3" borderId="0" applyAlignment="1" pivotButton="0" quotePrefix="0" xfId="0">
      <alignment horizontal="right" vertical="center"/>
    </xf>
    <xf numFmtId="0" fontId="3" fillId="0" borderId="0" applyAlignment="1" pivotButton="0" quotePrefix="0" xfId="0">
      <alignment horizontal="right" vertical="center"/>
    </xf>
    <xf numFmtId="3" fontId="4" fillId="4" borderId="0" applyAlignment="1" pivotButton="0" quotePrefix="0" xfId="0">
      <alignment horizontal="center"/>
    </xf>
    <xf numFmtId="0" fontId="5" fillId="0" borderId="0" applyAlignment="1" pivotButton="0" quotePrefix="0" xfId="0">
      <alignment horizontal="right" vertical="center"/>
    </xf>
    <xf numFmtId="164" fontId="6" fillId="0" borderId="0" applyAlignment="1" pivotButton="0" quotePrefix="0" xfId="0">
      <alignment horizontal="center"/>
    </xf>
    <xf numFmtId="165" fontId="4" fillId="4" borderId="0" applyAlignment="1" pivotButton="0" quotePrefix="0" xfId="0">
      <alignment horizontal="center"/>
    </xf>
    <xf numFmtId="165" fontId="6" fillId="0" borderId="0" applyAlignment="1" pivotButton="0" quotePrefix="0" xfId="0">
      <alignment horizontal="center"/>
    </xf>
    <xf numFmtId="0" fontId="7" fillId="2" borderId="0" applyAlignment="1" pivotButton="0" quotePrefix="0" xfId="0">
      <alignment horizontal="center"/>
    </xf>
    <xf numFmtId="0" fontId="8" fillId="0" borderId="0" applyAlignment="1" pivotButton="0" quotePrefix="0" xfId="0">
      <alignment horizontal="right" vertical="top" wrapText="1"/>
    </xf>
    <xf numFmtId="0" fontId="7" fillId="2" borderId="0" applyAlignment="1" pivotButton="0" quotePrefix="0" xfId="0">
      <alignment horizontal="right" vertical="center"/>
    </xf>
    <xf numFmtId="164" fontId="9" fillId="0" borderId="0" applyAlignment="1" pivotButton="0" quotePrefix="0" xfId="0">
      <alignment horizontal="center"/>
    </xf>
    <xf numFmtId="164" fontId="10" fillId="0" borderId="0" applyAlignment="1" pivotButton="0" quotePrefix="0" xfId="0">
      <alignment horizontal="center"/>
    </xf>
    <xf numFmtId="0" fontId="5" fillId="0" borderId="0" applyAlignment="1" pivotButton="0" quotePrefix="0" xfId="0">
      <alignment horizontal="center"/>
    </xf>
    <xf numFmtId="164" fontId="11" fillId="0" borderId="0" applyAlignment="1" pivotButton="0" quotePrefix="0" xfId="0">
      <alignment horizontal="center"/>
    </xf>
    <xf numFmtId="165" fontId="10" fillId="0" borderId="0" applyAlignment="1" pivotButton="0" quotePrefix="0" xfId="0">
      <alignment horizontal="center"/>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التراكمي التشغيلي مقابل التراكمي الشامل (ريال)</a:t>
            </a:r>
          </a:p>
        </rich>
      </tx>
    </title>
    <plotArea>
      <lineChart>
        <grouping val="standard"/>
        <ser>
          <idx val="0"/>
          <order val="0"/>
          <tx>
            <v>تراكمي تشغيلي (بدون رأسمالية)</v>
          </tx>
          <spPr>
            <a:ln xmlns:a="http://schemas.openxmlformats.org/drawingml/2006/main">
              <a:prstDash val="solid"/>
            </a:ln>
          </spPr>
          <marker>
            <symbol val="none"/>
            <spPr>
              <a:ln xmlns:a="http://schemas.openxmlformats.org/drawingml/2006/main">
                <a:prstDash val="solid"/>
              </a:ln>
            </spPr>
          </marker>
          <cat>
            <numRef>
              <f>'الأداء الشهري'!$B$3:$M$3</f>
            </numRef>
          </cat>
          <val>
            <numRef>
              <f>'الأداء الشهري'!$B$11:$M$11</f>
            </numRef>
          </val>
        </ser>
        <ser>
          <idx val="1"/>
          <order val="1"/>
          <tx>
            <v>تراكمي شامل الرأسمالية</v>
          </tx>
          <spPr>
            <a:ln xmlns:a="http://schemas.openxmlformats.org/drawingml/2006/main">
              <a:prstDash val="solid"/>
            </a:ln>
          </spPr>
          <marker>
            <symbol val="none"/>
            <spPr>
              <a:ln xmlns:a="http://schemas.openxmlformats.org/drawingml/2006/main">
                <a:prstDash val="solid"/>
              </a:ln>
            </spPr>
          </marker>
          <cat>
            <numRef>
              <f>'الأداء الشهري'!$B$3:$M$3</f>
            </numRef>
          </cat>
          <val>
            <numRef>
              <f>'الأداء الشهري'!$B$13:$M$13</f>
            </numRef>
          </val>
        </ser>
        <axId val="10"/>
        <axId val="100"/>
      </lineChart>
      <catAx>
        <axId val="10"/>
        <scaling>
          <orientation val="minMax"/>
        </scaling>
        <axPos val="l"/>
        <title>
          <tx>
            <rich>
              <a:bodyPr xmlns:a="http://schemas.openxmlformats.org/drawingml/2006/main"/>
              <a:p xmlns:a="http://schemas.openxmlformats.org/drawingml/2006/main">
                <a:pPr>
                  <a:defRPr/>
                </a:pPr>
                <a:r>
                  <a:t>الشهر</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ريال</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22</row>
      <rowOff>0</rowOff>
    </from>
    <ext cx="86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45"/>
  <sheetViews>
    <sheetView rightToLeft="1"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4" customHeight="1">
      <c r="A1" s="1" t="inlineStr">
        <is>
          <t>SYLTRA SMART — افتراضات النموذج المالي (السنة الأولى)</t>
        </is>
      </c>
    </row>
    <row r="3">
      <c r="A3" s="2" t="inlineStr">
        <is>
          <t>التكاليف الثابتة الشهرية (ريال) — قابلة للتعديل</t>
        </is>
      </c>
    </row>
    <row r="4">
      <c r="A4" s="3" t="inlineStr">
        <is>
          <t>رواتب الفريق</t>
        </is>
      </c>
      <c r="B4" s="4" t="n">
        <v>56000</v>
      </c>
    </row>
    <row r="5">
      <c r="A5" s="3" t="inlineStr">
        <is>
          <t>الإيجار</t>
        </is>
      </c>
      <c r="B5" s="4" t="n">
        <v>9167</v>
      </c>
    </row>
    <row r="6">
      <c r="A6" s="3" t="inlineStr">
        <is>
          <t>التسويق</t>
        </is>
      </c>
      <c r="B6" s="4" t="n">
        <v>2500</v>
      </c>
    </row>
    <row r="7">
      <c r="A7" s="3" t="inlineStr">
        <is>
          <t>الإنترنت والاتصالات</t>
        </is>
      </c>
      <c r="B7" s="4" t="n">
        <v>2000</v>
      </c>
    </row>
    <row r="8">
      <c r="A8" s="5" t="inlineStr">
        <is>
          <t>إجمالي التكاليف الثابتة الشهرية</t>
        </is>
      </c>
      <c r="B8" s="6">
        <f>SUM(B4:B7)</f>
        <v/>
      </c>
    </row>
    <row r="10">
      <c r="A10" s="2" t="inlineStr">
        <is>
          <t>المنصرفات الرأسمالية لمرة واحدة — تُصرف بالكامل في الشهر الأول (ريال)</t>
        </is>
      </c>
    </row>
    <row r="11">
      <c r="A11" s="3" t="inlineStr">
        <is>
          <t>السيارات</t>
        </is>
      </c>
      <c r="B11" s="4" t="n">
        <v>140000</v>
      </c>
    </row>
    <row r="12">
      <c r="A12" s="3" t="inlineStr">
        <is>
          <t>تجهيز المقر</t>
        </is>
      </c>
      <c r="B12" s="4" t="n">
        <v>50000</v>
      </c>
    </row>
    <row r="13">
      <c r="A13" s="3" t="inlineStr">
        <is>
          <t>معدات التطوير</t>
        </is>
      </c>
      <c r="B13" s="4" t="n">
        <v>20000</v>
      </c>
    </row>
    <row r="14">
      <c r="A14" s="3" t="inlineStr">
        <is>
          <t>مستلزمات مكتبية</t>
        </is>
      </c>
      <c r="B14" s="4" t="n">
        <v>15000</v>
      </c>
    </row>
    <row r="15">
      <c r="A15" s="5" t="inlineStr">
        <is>
          <t>إجمالي المنصرفات الرأسمالية</t>
        </is>
      </c>
      <c r="B15" s="6">
        <f>SUM(B11:B14)</f>
        <v/>
      </c>
    </row>
    <row r="17">
      <c r="A17" s="2" t="inlineStr">
        <is>
          <t>التكاليف المتغيرة — نسبة من الإيراد الشهري</t>
        </is>
      </c>
    </row>
    <row r="18">
      <c r="A18" s="3" t="inlineStr">
        <is>
          <t>التوريد المحلي (نسبة من قيمة كل مشروع)</t>
        </is>
      </c>
      <c r="B18" s="7" t="n">
        <v>0.3</v>
      </c>
    </row>
    <row r="19">
      <c r="A19" s="3" t="inlineStr">
        <is>
          <t>عمولة المبيعات</t>
        </is>
      </c>
      <c r="B19" s="7" t="n">
        <v>0.02</v>
      </c>
    </row>
    <row r="20">
      <c r="A20" s="5" t="inlineStr">
        <is>
          <t>إجمالي نسبة التكاليف المتغيرة</t>
        </is>
      </c>
      <c r="B20" s="8">
        <f>SUM(B18:B19)</f>
        <v/>
      </c>
    </row>
    <row r="22">
      <c r="A22" s="2" t="inlineStr">
        <is>
          <t>إيراد مشاريع التركيب والتشغيل الشهري — السنة الأولى (ريال، خلايا زرقاء قابلة للتعديل)</t>
        </is>
      </c>
    </row>
    <row r="23">
      <c r="B23" s="9" t="inlineStr">
        <is>
          <t>الشهر 1</t>
        </is>
      </c>
      <c r="C23" s="9" t="inlineStr">
        <is>
          <t>الشهر 2</t>
        </is>
      </c>
      <c r="D23" s="9" t="inlineStr">
        <is>
          <t>الشهر 3</t>
        </is>
      </c>
      <c r="E23" s="9" t="inlineStr">
        <is>
          <t>الشهر 4</t>
        </is>
      </c>
      <c r="F23" s="9" t="inlineStr">
        <is>
          <t>الشهر 5</t>
        </is>
      </c>
      <c r="G23" s="9" t="inlineStr">
        <is>
          <t>الشهر 6</t>
        </is>
      </c>
      <c r="H23" s="9" t="inlineStr">
        <is>
          <t>الشهر 7</t>
        </is>
      </c>
      <c r="I23" s="9" t="inlineStr">
        <is>
          <t>الشهر 8</t>
        </is>
      </c>
      <c r="J23" s="9" t="inlineStr">
        <is>
          <t>الشهر 9</t>
        </is>
      </c>
      <c r="K23" s="9" t="inlineStr">
        <is>
          <t>الشهر 10</t>
        </is>
      </c>
      <c r="L23" s="9" t="inlineStr">
        <is>
          <t>الشهر 11</t>
        </is>
      </c>
      <c r="M23" s="9" t="inlineStr">
        <is>
          <t>الشهر 12</t>
        </is>
      </c>
    </row>
    <row r="24">
      <c r="B24" s="4" t="n">
        <v>0</v>
      </c>
      <c r="C24" s="4" t="n">
        <v>27000</v>
      </c>
      <c r="D24" s="4" t="n">
        <v>54000</v>
      </c>
      <c r="E24" s="4" t="n">
        <v>108000</v>
      </c>
      <c r="F24" s="4" t="n">
        <v>135000</v>
      </c>
      <c r="G24" s="4" t="n">
        <v>185000</v>
      </c>
      <c r="H24" s="4" t="n">
        <v>296000</v>
      </c>
      <c r="I24" s="4" t="n">
        <v>296000</v>
      </c>
      <c r="J24" s="4" t="n">
        <v>296000</v>
      </c>
      <c r="K24" s="4" t="n">
        <v>296000</v>
      </c>
      <c r="L24" s="4" t="n">
        <v>296000</v>
      </c>
      <c r="M24" s="4" t="n">
        <v>296000</v>
      </c>
    </row>
    <row r="26">
      <c r="A26" s="10" t="inlineStr">
        <is>
          <t>ملاحظة: الأشهر 1–5 مبنية على خطة المرحلة الأولى الموثّقة (نمو تدريجي حتى 5 مشاريع/شهر بمتوسط 27,000 ريال/مشروع). اعتبارًا من الشهر 6 يرتفع متوسط قيمة المشروع إلى 37,000 ريال (5 مشاريع تقريبًا 185,000 ريال)، ثم اعتبارًا من الشهر 7 يرتفع عدد المشاريع إلى 8 مشاريع/شهر بنفس المتوسط 37,000 ريال تقريبًا 296,000 ريال، ويستمر عند هذا المعدل حتى الشهر 12 كسيناريو أساسي محافظ لإيراد الخدمات فقط. متوسط 37,000 ريال يمثل مزيجًا بين قيم مشاريع الأنظمة الأساسية للشقق (11,000–20,000 ريال للمشروع) وللفلل (20,000–45,000 ريال للمشروع). عدّل الخلايا الزرقاء في الصف 24 لاختبار سيناريو نمو مختلف. إيراد بيع الأجهزة (الأشهر 9–12) مضاف بشكل منفصل في القسم أدناه ولا يظهر في هذا الصف.</t>
        </is>
      </c>
    </row>
    <row r="27"/>
    <row r="29">
      <c r="A29" s="2" t="inlineStr">
        <is>
          <t>مبيعات الأجهزة عبر قنوات التوزيع (تُضاف في الأشهر 9–12 فقط، مع دفعة الإنتاج الموسّعة)</t>
        </is>
      </c>
    </row>
    <row r="30">
      <c r="A30" s="3" t="inlineStr">
        <is>
          <t>متوسط صافي تكلفة الجهاز (ريال) — من دفعة 1,000 وحدة</t>
        </is>
      </c>
      <c r="B30" s="4" t="n">
        <v>61</v>
      </c>
    </row>
    <row r="31">
      <c r="A31" s="3" t="inlineStr">
        <is>
          <t>متوسط سعر التجزئة للجهاز (ريال) — من دفعة 1,000 وحدة</t>
        </is>
      </c>
      <c r="B31" s="4" t="n">
        <v>190</v>
      </c>
    </row>
    <row r="32">
      <c r="A32" s="3" t="inlineStr">
        <is>
          <t>نسبة قناة التجزئة (بيع مباشر)</t>
        </is>
      </c>
      <c r="B32" s="7" t="n">
        <v>0.4</v>
      </c>
    </row>
    <row r="33">
      <c r="A33" s="3" t="inlineStr">
        <is>
          <t>نسبة قناة الموزعين والفنيين المستقلين</t>
        </is>
      </c>
      <c r="B33" s="7" t="n">
        <v>0.3</v>
      </c>
    </row>
    <row r="34">
      <c r="A34" s="3" t="inlineStr">
        <is>
          <t>نسبة قناة الجملة</t>
        </is>
      </c>
      <c r="B34" s="7" t="n">
        <v>0.2</v>
      </c>
    </row>
    <row r="35">
      <c r="A35" s="3" t="inlineStr">
        <is>
          <t>نسبة الفريق الداخلي</t>
        </is>
      </c>
      <c r="B35" s="7" t="n">
        <v>0.1</v>
      </c>
    </row>
    <row r="36">
      <c r="A36" s="5" t="inlineStr">
        <is>
          <t>إجمالي نسب القنوات (يجب أن يساوي 100%)</t>
        </is>
      </c>
      <c r="B36" s="8">
        <f>SUM(B32:B35)</f>
        <v/>
      </c>
    </row>
    <row r="37">
      <c r="A37" s="5" t="inlineStr">
        <is>
          <t>متوسط سعر البيع الموزون بعد مزيج القنوات (ريال/جهاز)</t>
        </is>
      </c>
      <c r="B37" s="6">
        <f>B30+(B35*0.25+B34*0.5+B33*0.75+B32*1)*(B31-B30)</f>
        <v/>
      </c>
    </row>
    <row r="39">
      <c r="A39" s="3" t="inlineStr">
        <is>
          <t>عدد الأجهزة المخطط بيعها شهريًا (خلايا زرقاء، الأشهر 9–12 فقط)</t>
        </is>
      </c>
    </row>
    <row r="40">
      <c r="B40" s="4" t="n">
        <v>0</v>
      </c>
      <c r="C40" s="4" t="n">
        <v>0</v>
      </c>
      <c r="D40" s="4" t="n">
        <v>0</v>
      </c>
      <c r="E40" s="4" t="n">
        <v>0</v>
      </c>
      <c r="F40" s="4" t="n">
        <v>0</v>
      </c>
      <c r="G40" s="4" t="n">
        <v>0</v>
      </c>
      <c r="H40" s="4" t="n">
        <v>0</v>
      </c>
      <c r="I40" s="4" t="n">
        <v>0</v>
      </c>
      <c r="J40" s="4" t="n">
        <v>220</v>
      </c>
      <c r="K40" s="4" t="n">
        <v>250</v>
      </c>
      <c r="L40" s="4" t="n">
        <v>260</v>
      </c>
      <c r="M40" s="4" t="n">
        <v>270</v>
      </c>
    </row>
    <row r="41">
      <c r="A41" s="5" t="inlineStr">
        <is>
          <t>إيراد بيع الأجهزة الشهري (ريال)</t>
        </is>
      </c>
      <c r="B41" s="6">
        <f>B40*$B$37</f>
        <v/>
      </c>
      <c r="C41" s="6">
        <f>C40*$B$37</f>
        <v/>
      </c>
      <c r="D41" s="6">
        <f>D40*$B$37</f>
        <v/>
      </c>
      <c r="E41" s="6">
        <f>E40*$B$37</f>
        <v/>
      </c>
      <c r="F41" s="6">
        <f>F40*$B$37</f>
        <v/>
      </c>
      <c r="G41" s="6">
        <f>G40*$B$37</f>
        <v/>
      </c>
      <c r="H41" s="6">
        <f>H40*$B$37</f>
        <v/>
      </c>
      <c r="I41" s="6">
        <f>I40*$B$37</f>
        <v/>
      </c>
      <c r="J41" s="6">
        <f>J40*$B$37</f>
        <v/>
      </c>
      <c r="K41" s="6">
        <f>K40*$B$37</f>
        <v/>
      </c>
      <c r="L41" s="6">
        <f>L40*$B$37</f>
        <v/>
      </c>
      <c r="M41" s="6">
        <f>M40*$B$37</f>
        <v/>
      </c>
    </row>
    <row r="43">
      <c r="A43" s="10" t="inlineStr">
        <is>
          <t>ملاحظة: 1,000 جهاز تمثل دفعة الإنتاج الموسّعة (Scaled Batch) الموثّقة في خطة التصنيع، تُطرح للبيع عبر مزيج القنوات أعلاه بدءًا من الشهر 9 (بعد اكتمال الاستيراد والتخليص). متوسط سعر التكلفة الصافي 61 ريال ومتوسط سعر التجزئة 190 ريال محسوبان من فهرس المنتجات الكامل (15 صنفًا) بأوزان الكميات الفعلية للدفعة. نسبة التكلفة الصافية إلى سعر التجزئة تبلغ تقريبًا 32%، وهي قريبة جدًا من نسبة التكاليف المتغيرة المستخدمة أصلاً لإيراد المشاريع (30% توريد + 2% عمولة)، لذلك يُطبَّق نفس معدل التكلفة المتغيرة (B20) على إجمالي الإيراد (مشاريع + أجهزة) في ورقة الأداء الشهري دون الحاجة لبند تكلفة منفصل. عدّل الخلايا الزرقاء (الكميات ونسب القنوات) لاختبار سيناريو توزيع مختلف.</t>
        </is>
      </c>
    </row>
    <row r="44"/>
    <row r="45"/>
  </sheetData>
  <mergeCells count="3">
    <mergeCell ref="A43:M45"/>
    <mergeCell ref="A26:M27"/>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1"/>
  <sheetViews>
    <sheetView rightToLeft="1" workbookViewId="0">
      <selection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4" customHeight="1">
      <c r="A1" s="1" t="inlineStr">
        <is>
          <t>SYLTRA SMART — الأداء المالي الشهري (12 شهرًا)</t>
        </is>
      </c>
    </row>
    <row r="3">
      <c r="A3" s="11" t="inlineStr">
        <is>
          <t>البند</t>
        </is>
      </c>
      <c r="B3" s="9" t="inlineStr">
        <is>
          <t>الشهر 1</t>
        </is>
      </c>
      <c r="C3" s="9" t="inlineStr">
        <is>
          <t>الشهر 2</t>
        </is>
      </c>
      <c r="D3" s="9" t="inlineStr">
        <is>
          <t>الشهر 3</t>
        </is>
      </c>
      <c r="E3" s="9" t="inlineStr">
        <is>
          <t>الشهر 4</t>
        </is>
      </c>
      <c r="F3" s="9" t="inlineStr">
        <is>
          <t>الشهر 5</t>
        </is>
      </c>
      <c r="G3" s="9" t="inlineStr">
        <is>
          <t>الشهر 6</t>
        </is>
      </c>
      <c r="H3" s="9" t="inlineStr">
        <is>
          <t>الشهر 7</t>
        </is>
      </c>
      <c r="I3" s="9" t="inlineStr">
        <is>
          <t>الشهر 8</t>
        </is>
      </c>
      <c r="J3" s="9" t="inlineStr">
        <is>
          <t>الشهر 9</t>
        </is>
      </c>
      <c r="K3" s="9" t="inlineStr">
        <is>
          <t>الشهر 10</t>
        </is>
      </c>
      <c r="L3" s="9" t="inlineStr">
        <is>
          <t>الشهر 11</t>
        </is>
      </c>
      <c r="M3" s="9" t="inlineStr">
        <is>
          <t>الشهر 12</t>
        </is>
      </c>
    </row>
    <row r="4">
      <c r="A4" s="3" t="inlineStr">
        <is>
          <t>إيراد المشاريع (خدمات التركيب والتشغيل)</t>
        </is>
      </c>
      <c r="B4" s="12">
        <f>'الافتراضات'!B24</f>
        <v/>
      </c>
      <c r="C4" s="12">
        <f>'الافتراضات'!C24</f>
        <v/>
      </c>
      <c r="D4" s="12">
        <f>'الافتراضات'!D24</f>
        <v/>
      </c>
      <c r="E4" s="12">
        <f>'الافتراضات'!E24</f>
        <v/>
      </c>
      <c r="F4" s="12">
        <f>'الافتراضات'!F24</f>
        <v/>
      </c>
      <c r="G4" s="12">
        <f>'الافتراضات'!G24</f>
        <v/>
      </c>
      <c r="H4" s="12">
        <f>'الافتراضات'!H24</f>
        <v/>
      </c>
      <c r="I4" s="12">
        <f>'الافتراضات'!I24</f>
        <v/>
      </c>
      <c r="J4" s="12">
        <f>'الافتراضات'!J24</f>
        <v/>
      </c>
      <c r="K4" s="12">
        <f>'الافتراضات'!K24</f>
        <v/>
      </c>
      <c r="L4" s="12">
        <f>'الافتراضات'!L24</f>
        <v/>
      </c>
      <c r="M4" s="12">
        <f>'الافتراضات'!M24</f>
        <v/>
      </c>
    </row>
    <row r="5">
      <c r="A5" s="3" t="inlineStr">
        <is>
          <t>إيراد بيع الأجهزة عبر القنوات (الأشهر 9–12)</t>
        </is>
      </c>
      <c r="B5" s="12">
        <f>'الافتراضات'!B41</f>
        <v/>
      </c>
      <c r="C5" s="12">
        <f>'الافتراضات'!C41</f>
        <v/>
      </c>
      <c r="D5" s="12">
        <f>'الافتراضات'!D41</f>
        <v/>
      </c>
      <c r="E5" s="12">
        <f>'الافتراضات'!E41</f>
        <v/>
      </c>
      <c r="F5" s="12">
        <f>'الافتراضات'!F41</f>
        <v/>
      </c>
      <c r="G5" s="12">
        <f>'الافتراضات'!G41</f>
        <v/>
      </c>
      <c r="H5" s="12">
        <f>'الافتراضات'!H41</f>
        <v/>
      </c>
      <c r="I5" s="12">
        <f>'الافتراضات'!I41</f>
        <v/>
      </c>
      <c r="J5" s="12">
        <f>'الافتراضات'!J41</f>
        <v/>
      </c>
      <c r="K5" s="12">
        <f>'الافتراضات'!K41</f>
        <v/>
      </c>
      <c r="L5" s="12">
        <f>'الافتراضات'!L41</f>
        <v/>
      </c>
      <c r="M5" s="12">
        <f>'الافتراضات'!M41</f>
        <v/>
      </c>
    </row>
    <row r="6">
      <c r="A6" s="5" t="inlineStr">
        <is>
          <t>إجمالي الإيراد الشهري</t>
        </is>
      </c>
      <c r="B6" s="6">
        <f>B4+B5</f>
        <v/>
      </c>
      <c r="C6" s="6">
        <f>C4+C5</f>
        <v/>
      </c>
      <c r="D6" s="6">
        <f>D4+D5</f>
        <v/>
      </c>
      <c r="E6" s="6">
        <f>E4+E5</f>
        <v/>
      </c>
      <c r="F6" s="6">
        <f>F4+F5</f>
        <v/>
      </c>
      <c r="G6" s="6">
        <f>G4+G5</f>
        <v/>
      </c>
      <c r="H6" s="6">
        <f>H4+H5</f>
        <v/>
      </c>
      <c r="I6" s="6">
        <f>I4+I5</f>
        <v/>
      </c>
      <c r="J6" s="6">
        <f>J4+J5</f>
        <v/>
      </c>
      <c r="K6" s="6">
        <f>K4+K5</f>
        <v/>
      </c>
      <c r="L6" s="6">
        <f>L4+L5</f>
        <v/>
      </c>
      <c r="M6" s="6">
        <f>M4+M5</f>
        <v/>
      </c>
    </row>
    <row r="7">
      <c r="A7" s="3" t="inlineStr">
        <is>
          <t>التكاليف الثابتة</t>
        </is>
      </c>
      <c r="B7" s="12">
        <f>'الافتراضات'!$B$8</f>
        <v/>
      </c>
      <c r="C7" s="12">
        <f>'الافتراضات'!$B$8</f>
        <v/>
      </c>
      <c r="D7" s="12">
        <f>'الافتراضات'!$B$8</f>
        <v/>
      </c>
      <c r="E7" s="12">
        <f>'الافتراضات'!$B$8</f>
        <v/>
      </c>
      <c r="F7" s="12">
        <f>'الافتراضات'!$B$8</f>
        <v/>
      </c>
      <c r="G7" s="12">
        <f>'الافتراضات'!$B$8</f>
        <v/>
      </c>
      <c r="H7" s="12">
        <f>'الافتراضات'!$B$8</f>
        <v/>
      </c>
      <c r="I7" s="12">
        <f>'الافتراضات'!$B$8</f>
        <v/>
      </c>
      <c r="J7" s="12">
        <f>'الافتراضات'!$B$8</f>
        <v/>
      </c>
      <c r="K7" s="12">
        <f>'الافتراضات'!$B$8</f>
        <v/>
      </c>
      <c r="L7" s="12">
        <f>'الافتراضات'!$B$8</f>
        <v/>
      </c>
      <c r="M7" s="12">
        <f>'الافتراضات'!$B$8</f>
        <v/>
      </c>
    </row>
    <row r="8">
      <c r="A8" s="3" t="inlineStr">
        <is>
          <t>التكاليف المتغيرة (على إجمالي الإيراد)</t>
        </is>
      </c>
      <c r="B8" s="13">
        <f>B6*'الافتراضات'!$B$20</f>
        <v/>
      </c>
      <c r="C8" s="13">
        <f>C6*'الافتراضات'!$B$20</f>
        <v/>
      </c>
      <c r="D8" s="13">
        <f>D6*'الافتراضات'!$B$20</f>
        <v/>
      </c>
      <c r="E8" s="13">
        <f>E6*'الافتراضات'!$B$20</f>
        <v/>
      </c>
      <c r="F8" s="13">
        <f>F6*'الافتراضات'!$B$20</f>
        <v/>
      </c>
      <c r="G8" s="13">
        <f>G6*'الافتراضات'!$B$20</f>
        <v/>
      </c>
      <c r="H8" s="13">
        <f>H6*'الافتراضات'!$B$20</f>
        <v/>
      </c>
      <c r="I8" s="13">
        <f>I6*'الافتراضات'!$B$20</f>
        <v/>
      </c>
      <c r="J8" s="13">
        <f>J6*'الافتراضات'!$B$20</f>
        <v/>
      </c>
      <c r="K8" s="13">
        <f>K6*'الافتراضات'!$B$20</f>
        <v/>
      </c>
      <c r="L8" s="13">
        <f>L6*'الافتراضات'!$B$20</f>
        <v/>
      </c>
      <c r="M8" s="13">
        <f>M6*'الافتراضات'!$B$20</f>
        <v/>
      </c>
    </row>
    <row r="9">
      <c r="A9" s="5" t="inlineStr">
        <is>
          <t>إجمالي التكاليف الشهرية</t>
        </is>
      </c>
      <c r="B9" s="6">
        <f>B7+B8</f>
        <v/>
      </c>
      <c r="C9" s="6">
        <f>C7+C8</f>
        <v/>
      </c>
      <c r="D9" s="6">
        <f>D7+D8</f>
        <v/>
      </c>
      <c r="E9" s="6">
        <f>E7+E8</f>
        <v/>
      </c>
      <c r="F9" s="6">
        <f>F7+F8</f>
        <v/>
      </c>
      <c r="G9" s="6">
        <f>G7+G8</f>
        <v/>
      </c>
      <c r="H9" s="6">
        <f>H7+H8</f>
        <v/>
      </c>
      <c r="I9" s="6">
        <f>I7+I8</f>
        <v/>
      </c>
      <c r="J9" s="6">
        <f>J7+J8</f>
        <v/>
      </c>
      <c r="K9" s="6">
        <f>K7+K8</f>
        <v/>
      </c>
      <c r="L9" s="6">
        <f>L7+L8</f>
        <v/>
      </c>
      <c r="M9" s="6">
        <f>M7+M8</f>
        <v/>
      </c>
    </row>
    <row r="10">
      <c r="A10" s="5" t="inlineStr">
        <is>
          <t>صافي النتيجة التشغيلية الشهرية</t>
        </is>
      </c>
      <c r="B10" s="6">
        <f>B6-B9</f>
        <v/>
      </c>
      <c r="C10" s="6">
        <f>C6-C9</f>
        <v/>
      </c>
      <c r="D10" s="6">
        <f>D6-D9</f>
        <v/>
      </c>
      <c r="E10" s="6">
        <f>E6-E9</f>
        <v/>
      </c>
      <c r="F10" s="6">
        <f>F6-F9</f>
        <v/>
      </c>
      <c r="G10" s="6">
        <f>G6-G9</f>
        <v/>
      </c>
      <c r="H10" s="6">
        <f>H6-H9</f>
        <v/>
      </c>
      <c r="I10" s="6">
        <f>I6-I9</f>
        <v/>
      </c>
      <c r="J10" s="6">
        <f>J6-J9</f>
        <v/>
      </c>
      <c r="K10" s="6">
        <f>K6-K9</f>
        <v/>
      </c>
      <c r="L10" s="6">
        <f>L6-L9</f>
        <v/>
      </c>
      <c r="M10" s="6">
        <f>M6-M9</f>
        <v/>
      </c>
    </row>
    <row r="11">
      <c r="A11" s="3" t="inlineStr">
        <is>
          <t>التراكمي التشغيلي (بدون رأسمالية)</t>
        </is>
      </c>
      <c r="B11" s="13">
        <f>B10</f>
        <v/>
      </c>
      <c r="C11" s="13">
        <f>B11+C10</f>
        <v/>
      </c>
      <c r="D11" s="13">
        <f>C11+D10</f>
        <v/>
      </c>
      <c r="E11" s="13">
        <f>D11+E10</f>
        <v/>
      </c>
      <c r="F11" s="13">
        <f>E11+F10</f>
        <v/>
      </c>
      <c r="G11" s="13">
        <f>F11+G10</f>
        <v/>
      </c>
      <c r="H11" s="13">
        <f>G11+H10</f>
        <v/>
      </c>
      <c r="I11" s="13">
        <f>H11+I10</f>
        <v/>
      </c>
      <c r="J11" s="13">
        <f>I11+J10</f>
        <v/>
      </c>
      <c r="K11" s="13">
        <f>J11+K10</f>
        <v/>
      </c>
      <c r="L11" s="13">
        <f>K11+L10</f>
        <v/>
      </c>
      <c r="M11" s="13">
        <f>L11+M10</f>
        <v/>
      </c>
    </row>
    <row r="12">
      <c r="A12" s="3" t="inlineStr">
        <is>
          <t>المنصرفات الرأسمالية (مرة واحدة، الشهر 1)</t>
        </is>
      </c>
      <c r="B12" s="12">
        <f>'الافتراضات'!$B$15</f>
        <v/>
      </c>
      <c r="C12" s="13" t="inlineStr">
        <is>
          <t>0</t>
        </is>
      </c>
      <c r="D12" s="13" t="inlineStr">
        <is>
          <t>0</t>
        </is>
      </c>
      <c r="E12" s="13" t="inlineStr">
        <is>
          <t>0</t>
        </is>
      </c>
      <c r="F12" s="13" t="inlineStr">
        <is>
          <t>0</t>
        </is>
      </c>
      <c r="G12" s="13" t="inlineStr">
        <is>
          <t>0</t>
        </is>
      </c>
      <c r="H12" s="13" t="inlineStr">
        <is>
          <t>0</t>
        </is>
      </c>
      <c r="I12" s="13" t="inlineStr">
        <is>
          <t>0</t>
        </is>
      </c>
      <c r="J12" s="13" t="inlineStr">
        <is>
          <t>0</t>
        </is>
      </c>
      <c r="K12" s="13" t="inlineStr">
        <is>
          <t>0</t>
        </is>
      </c>
      <c r="L12" s="13" t="inlineStr">
        <is>
          <t>0</t>
        </is>
      </c>
      <c r="M12" s="13" t="inlineStr">
        <is>
          <t>0</t>
        </is>
      </c>
    </row>
    <row r="13">
      <c r="A13" s="5" t="inlineStr">
        <is>
          <t>التراكمي الكلي (شامل الرأسمالية)</t>
        </is>
      </c>
      <c r="B13" s="6">
        <f>B11-B12</f>
        <v/>
      </c>
      <c r="C13" s="6">
        <f>C11-SUM($B$12:C12)</f>
        <v/>
      </c>
      <c r="D13" s="6">
        <f>D11-SUM($B$12:D12)</f>
        <v/>
      </c>
      <c r="E13" s="6">
        <f>E11-SUM($B$12:E12)</f>
        <v/>
      </c>
      <c r="F13" s="6">
        <f>F11-SUM($B$12:F12)</f>
        <v/>
      </c>
      <c r="G13" s="6">
        <f>G11-SUM($B$12:G12)</f>
        <v/>
      </c>
      <c r="H13" s="6">
        <f>H11-SUM($B$12:H12)</f>
        <v/>
      </c>
      <c r="I13" s="6">
        <f>I11-SUM($B$12:I12)</f>
        <v/>
      </c>
      <c r="J13" s="6">
        <f>J11-SUM($B$12:J12)</f>
        <v/>
      </c>
      <c r="K13" s="6">
        <f>K11-SUM($B$12:K12)</f>
        <v/>
      </c>
      <c r="L13" s="6">
        <f>L11-SUM($B$12:L12)</f>
        <v/>
      </c>
      <c r="M13" s="6">
        <f>M11-SUM($B$12:M12)</f>
        <v/>
      </c>
    </row>
    <row r="15">
      <c r="A15" s="2" t="inlineStr">
        <is>
          <t>مؤشرات التعادل</t>
        </is>
      </c>
    </row>
    <row r="16">
      <c r="A16" s="3" t="inlineStr">
        <is>
          <t>أول شهر تعادل تشغيلي شهري (صافي شهري &amp;gt;= 0)</t>
        </is>
      </c>
      <c r="B16" s="14">
        <f>COUNTIF(B10:M10,"&lt;0")+1</f>
        <v/>
      </c>
    </row>
    <row r="17">
      <c r="A17" s="3" t="inlineStr">
        <is>
          <t>أول شهر تعادل تراكمي تشغيلي (بدون رأسمالية)</t>
        </is>
      </c>
      <c r="B17" s="14">
        <f>COUNTIF(B11:M11,"&lt;0")+1</f>
        <v/>
      </c>
    </row>
    <row r="18">
      <c r="A18" s="3" t="inlineStr">
        <is>
          <t>شهر التعادل الكامل المتوقع (شامل الرأسمالية، تقديري)</t>
        </is>
      </c>
      <c r="B18" s="14">
        <f>IF(M13&gt;=0,COUNTIF(B13:M13,"&lt;0")+1,12+ROUNDUP(-M13/M10,0))</f>
        <v/>
      </c>
    </row>
    <row r="20">
      <c r="A20" s="10" t="inlineStr">
        <is>
          <t>الصف الأخضر/الأحمر: أخضر = نتيجة موجبة (تعادل أو ربح) لذلك الشهر، أحمر = عجز. الخلية B18 تقدير حسابي: إن لم يتحقق التعادل الكامل خلال الأشهر الـ12، تُحسب الأشهر الإضافية اللازمة بافتراض استمرار صافي الشهر 12 كمعدّل ثابت. اعتبارًا من الشهر 9 يشمل الإيراد الشهري إيراد بيع الأجهزة عبر القنوات إضافة إلى إيراد المشاريع.</t>
        </is>
      </c>
    </row>
    <row r="21"/>
  </sheetData>
  <mergeCells count="2">
    <mergeCell ref="A20:M21"/>
    <mergeCell ref="A1:M1"/>
  </mergeCells>
  <conditionalFormatting sqref="B10:M10">
    <cfRule type="cellIs" priority="1" operator="greaterThanOrEqual" dxfId="0">
      <formula>0</formula>
    </cfRule>
    <cfRule type="cellIs" priority="2" operator="lessThan" dxfId="1">
      <formula>0</formula>
    </cfRule>
  </conditionalFormatting>
  <conditionalFormatting sqref="B13:M13">
    <cfRule type="cellIs" priority="3" operator="greaterThanOrEqual" dxfId="0">
      <formula>0</formula>
    </cfRule>
    <cfRule type="cellIs" priority="4" operator="lessThan" dxfId="1">
      <formula>0</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25"/>
  <sheetViews>
    <sheetView rightToLeft="1" workbookViewId="0">
      <selection activeCell="A1" sqref="A1"/>
    </sheetView>
  </sheetViews>
  <sheetFormatPr baseColWidth="8" defaultRowHeight="15"/>
  <cols>
    <col width="46" customWidth="1" min="1" max="1"/>
    <col width="18" customWidth="1" min="2" max="2"/>
  </cols>
  <sheetData>
    <row r="1" ht="24" customHeight="1">
      <c r="A1" s="1" t="inlineStr">
        <is>
          <t>SYLTRA SMART — الملخص المالي السنوي (السنة الأولى)</t>
        </is>
      </c>
    </row>
    <row r="3">
      <c r="A3" s="2" t="inlineStr">
        <is>
          <t>الإيراد والتكاليف السنوية</t>
        </is>
      </c>
    </row>
    <row r="4">
      <c r="A4" s="5" t="inlineStr">
        <is>
          <t>إجمالي الإيراد السنوي</t>
        </is>
      </c>
      <c r="B4" s="15">
        <f>SUM('الأداء الشهري'!B6:M6)</f>
        <v/>
      </c>
    </row>
    <row r="5">
      <c r="A5" s="3" t="inlineStr">
        <is>
          <t xml:space="preserve">     منها: إيراد المشاريع (الخدمات)</t>
        </is>
      </c>
      <c r="B5" s="12">
        <f>SUM('الأداء الشهري'!B4:M4)</f>
        <v/>
      </c>
    </row>
    <row r="6">
      <c r="A6" s="3" t="inlineStr">
        <is>
          <t xml:space="preserve">     منها: إيراد بيع الأجهزة عبر القنوات (الأشهر 9–12)</t>
        </is>
      </c>
      <c r="B6" s="12">
        <f>SUM('الأداء الشهري'!B5:M5)</f>
        <v/>
      </c>
    </row>
    <row r="7">
      <c r="A7" s="3" t="inlineStr">
        <is>
          <t>إجمالي التكاليف الثابتة السنوية</t>
        </is>
      </c>
      <c r="B7" s="12">
        <f>SUM('الأداء الشهري'!B7:M7)</f>
        <v/>
      </c>
    </row>
    <row r="8">
      <c r="A8" s="3" t="inlineStr">
        <is>
          <t>إجمالي التكاليف المتغيرة السنوية</t>
        </is>
      </c>
      <c r="B8" s="12">
        <f>SUM('الأداء الشهري'!B8:M8)</f>
        <v/>
      </c>
    </row>
    <row r="9">
      <c r="A9" s="3" t="inlineStr">
        <is>
          <t>إجمالي المنصرفات الرأسمالية (لمرة واحدة)</t>
        </is>
      </c>
      <c r="B9" s="12">
        <f>'الافتراضات'!B15</f>
        <v/>
      </c>
    </row>
    <row r="10">
      <c r="A10" s="5" t="inlineStr">
        <is>
          <t>إجمالي التكاليف السنوية الكلية</t>
        </is>
      </c>
      <c r="B10" s="6">
        <f>B7+B8+B9</f>
        <v/>
      </c>
    </row>
    <row r="12">
      <c r="A12" s="2" t="inlineStr">
        <is>
          <t>الربحية السنوية</t>
        </is>
      </c>
    </row>
    <row r="13">
      <c r="A13" s="5" t="inlineStr">
        <is>
          <t>صافي الربح التشغيلي السنوي (بدون رأسمالية)</t>
        </is>
      </c>
      <c r="B13" s="6">
        <f>B4-B7-B8</f>
        <v/>
      </c>
    </row>
    <row r="14">
      <c r="A14" s="5" t="inlineStr">
        <is>
          <t>صافي الربح / الخسارة السنوي الكلي (شامل الرأسمالية)</t>
        </is>
      </c>
      <c r="B14" s="6">
        <f>B4-B10</f>
        <v/>
      </c>
    </row>
    <row r="15">
      <c r="A15" s="3" t="inlineStr">
        <is>
          <t>هامش الربح التشغيلي</t>
        </is>
      </c>
      <c r="B15" s="16">
        <f>IF(B4=0,0,B13/B4)</f>
        <v/>
      </c>
    </row>
    <row r="17">
      <c r="A17" s="2" t="inlineStr">
        <is>
          <t>مؤشرات التعادل</t>
        </is>
      </c>
    </row>
    <row r="18">
      <c r="A18" s="3" t="inlineStr">
        <is>
          <t>أول شهر تعادل تشغيلي شهري</t>
        </is>
      </c>
      <c r="B18" s="14">
        <f>'الأداء الشهري'!B16</f>
        <v/>
      </c>
    </row>
    <row r="19">
      <c r="A19" s="3" t="inlineStr">
        <is>
          <t>أول شهر تعادل تراكمي تشغيلي (بدون رأسمالية)</t>
        </is>
      </c>
      <c r="B19" s="14">
        <f>'الأداء الشهري'!B17</f>
        <v/>
      </c>
    </row>
    <row r="20">
      <c r="A20" s="3" t="inlineStr">
        <is>
          <t>شهر التعادل الكامل المتوقع (شامل الرأسمالية)</t>
        </is>
      </c>
      <c r="B20" s="14">
        <f>'الأداء الشهري'!B18</f>
        <v/>
      </c>
    </row>
    <row r="22">
      <c r="A22" s="10" t="inlineStr">
        <is>
          <t>مصدر أرقام الأشهر 1–5: خطة الاستثمار الموثّقة لمشروع SYLTRA SMART (المرحلة الأولى، متوسط 27,000 ريال/مشروع). اعتبارًا من الشهر 6 يرتفع متوسط قيمة المشروع إلى 37,000 ريال، ثم اعتبارًا من الشهر 7 يرتفع عدد المشاريع إلى 8 مشاريع/شهر (~296,000 ريال). اعتبارًا من الشهر 9 يُضاف أيضًا إيراد بيع 1,000 جهاز من دفعة الإنتاج الموسّعة عبر قنوات التوزيع (تجزئة، موزعون وفنيون مستقلون، جملة، فريق داخلي)، إلى جانب استمرار إيراد المشاريع. عدّل ورقة الافتراضات لاختبار سيناريوهات نمو أو مزيج قنوات مختلف.</t>
        </is>
      </c>
    </row>
    <row r="23"/>
    <row r="24"/>
    <row r="25"/>
  </sheetData>
  <mergeCells count="2">
    <mergeCell ref="A1:B1"/>
    <mergeCell ref="A22:B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2026-08-10T21:11:39Z</dcterms:created>
  <dcterms:modified xmlns:dcterms="http://purl.org/dc/terms/" xmlns:xsi="http://www.w3.org/2001/XMLSchema-instance" xsi:type="dcterms:W3CDTF">2026-08-10T21:11:39Z</dcterms:modified>
</cp:coreProperties>
</file>