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Roadmap &amp; Milestones" sheetId="2" state="visible" r:id="rId4"/>
    <sheet name="Epics" sheetId="3" state="visible" r:id="rId5"/>
    <sheet name="Backlog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<sst xmlns="http://schemas.openxmlformats.org/spreadsheetml/2006/main" count="766" uniqueCount="305">
  <si>
    <t xml:space="preserve">SYNTRA SMART</t>
  </si>
  <si>
    <t xml:space="preserve">SYNTRA TV — Technical Project Plan</t>
  </si>
  <si>
    <t xml:space="preserve">Execution plan derived from the SYNTRA TV PRD v1.0  |  Prepared for SYNTRA SMART</t>
  </si>
  <si>
    <t xml:space="preserve">Project Snapshot</t>
  </si>
  <si>
    <t xml:space="preserve">Total backlog items</t>
  </si>
  <si>
    <t xml:space="preserve">Total story points</t>
  </si>
  <si>
    <t xml:space="preserve">Epics</t>
  </si>
  <si>
    <t xml:space="preserve">Planned sprints (2 wks each)</t>
  </si>
  <si>
    <t xml:space="preserve">Est. duration to Beta (weeks)</t>
  </si>
  <si>
    <t xml:space="preserve">% Complete</t>
  </si>
  <si>
    <t xml:space="preserve">Story Points by Epic</t>
  </si>
  <si>
    <t xml:space="preserve">Items by Priority</t>
  </si>
  <si>
    <t xml:space="preserve">Epic</t>
  </si>
  <si>
    <t xml:space="preserve">Items</t>
  </si>
  <si>
    <t xml:space="preserve">Points</t>
  </si>
  <si>
    <t xml:space="preserve">Priority</t>
  </si>
  <si>
    <t xml:space="preserve">P0 - Critical</t>
  </si>
  <si>
    <t xml:space="preserve">P1 - High</t>
  </si>
  <si>
    <t xml:space="preserve">P2 - Medium</t>
  </si>
  <si>
    <t xml:space="preserve">P3 - Low</t>
  </si>
  <si>
    <t xml:space="preserve">Status Breakdown</t>
  </si>
  <si>
    <t xml:space="preserve">Status</t>
  </si>
  <si>
    <t xml:space="preserve">Not Started</t>
  </si>
  <si>
    <t xml:space="preserve">In Progress</t>
  </si>
  <si>
    <t xml:space="preserve">Done</t>
  </si>
  <si>
    <t xml:space="preserve">Blocked</t>
  </si>
  <si>
    <t xml:space="preserve">How to use this workbook</t>
  </si>
  <si>
    <t xml:space="preserve">-  Roadmap &amp; Milestones — phase-by-phase timeline with target durations and exit criteria.</t>
  </si>
  <si>
    <t xml:space="preserve">-  Epics — the 18 work streams derived from the PRD, each mapped to a target phase.</t>
  </si>
  <si>
    <t xml:space="preserve">-  Backlog — the sprint-level task list. Update the Status column as work progresses; the Overview totals recalculate automatically.</t>
  </si>
  <si>
    <t xml:space="preserve">-  All estimates are in story points (Fibonacci: 1, 2, 3, 5, 8, 13) and are planning-level — recalibrate after Sprint 2 based on actual velocity.</t>
  </si>
  <si>
    <t xml:space="preserve">Roadmap &amp; Milestones</t>
  </si>
  <si>
    <t xml:space="preserve">Phase-based delivery plan — durations are planning estimates for a mid-sized team</t>
  </si>
  <si>
    <t xml:space="preserve">Phase</t>
  </si>
  <si>
    <t xml:space="preserve">Focus</t>
  </si>
  <si>
    <t xml:space="preserve">Duration (wks)</t>
  </si>
  <si>
    <t xml:space="preserve">Start Wk</t>
  </si>
  <si>
    <t xml:space="preserve">End Wk</t>
  </si>
  <si>
    <t xml:space="preserve">Key Exit Criteria</t>
  </si>
  <si>
    <t xml:space="preserve">Phase 0 — Discovery &amp; Architecture</t>
  </si>
  <si>
    <t xml:space="preserve">Requirements sign-off, system design, provider API contracts, environment setup</t>
  </si>
  <si>
    <t xml:space="preserve">All architecture diagrams approved; dev/staging environments live; CI skeleton running</t>
  </si>
  <si>
    <t xml:space="preserve">Phase 1 — Core Backend &amp; Infrastructure</t>
  </si>
  <si>
    <t xml:space="preserve">NestJS services, PostgreSQL schema, Redis cache, JWT/OAuth, Docker/K8s baseline</t>
  </si>
  <si>
    <t xml:space="preserve">Auth, user, and catalog services deployed to staging with automated tests</t>
  </si>
  <si>
    <t xml:space="preserve">Phase 2 — Platform Apps (MVP)</t>
  </si>
  <si>
    <t xml:space="preserve">Flutter apps for Mobile, Web, Tablet with core navigation, profiles, and player</t>
  </si>
  <si>
    <t xml:space="preserve">MVP apps installable/browsable with mock catalog and working playback</t>
  </si>
  <si>
    <t xml:space="preserve">Phase 3 — Content Provider Integration &amp; Streaming</t>
  </si>
  <si>
    <t xml:space="preserve">Provider layer, normalization layer, HLS/DASH pipeline, Live TV, VOD catalogs</t>
  </si>
  <si>
    <t xml:space="preserve">At least one licensed IPTV and one VOD provider fully live end-to-end</t>
  </si>
  <si>
    <t xml:space="preserve">Phase 4 — TV Platforms, AI &amp; Smart Home</t>
  </si>
  <si>
    <t xml:space="preserve">Android TV / Google TV apps, recommendations, smart home bridge, subscriptions</t>
  </si>
  <si>
    <t xml:space="preserve">TV apps feature-complete; AI recommendations live; smart home controls functional</t>
  </si>
  <si>
    <t xml:space="preserve">Phase 5 — Admin Dashboard &amp; Security Hardening</t>
  </si>
  <si>
    <t xml:space="preserve">Full admin console, RBAC, DRM readiness, pen-test remediation</t>
  </si>
  <si>
    <t xml:space="preserve">Admin dashboard covers all management modules; security audit passed</t>
  </si>
  <si>
    <t xml:space="preserve">Phase 6 — Beta &amp; QA</t>
  </si>
  <si>
    <t xml:space="preserve">Closed beta across all platforms, performance tuning, bug triage</t>
  </si>
  <si>
    <t xml:space="preserve">App launch &lt; 2s and streaming startup &lt; 3s targets met; crash-free rate &gt; 99.5%</t>
  </si>
  <si>
    <t xml:space="preserve">Phase 7 — Launch</t>
  </si>
  <si>
    <t xml:space="preserve">Store submissions, CDN cutover, monitoring, go-live</t>
  </si>
  <si>
    <t xml:space="preserve">Public availability on Android TV, Google TV, Android, iOS, Web, Tablet</t>
  </si>
  <si>
    <t xml:space="preserve">Phase 8 — Post-Launch Roadmap</t>
  </si>
  <si>
    <t xml:space="preserve">Music, Podcasts, Games, Fitness, Education, Family Dashboard, video calls</t>
  </si>
  <si>
    <t xml:space="preserve">Ongoing</t>
  </si>
  <si>
    <t xml:space="preserve">—</t>
  </si>
  <si>
    <t xml:space="preserve">Prioritized per the Future Roadmap backlog, scoped quarterly</t>
  </si>
  <si>
    <t xml:space="preserve">18 work streams mapped from the PRD, each owned end-to-end by a squad</t>
  </si>
  <si>
    <t xml:space="preserve">Description</t>
  </si>
  <si>
    <t xml:space="preserve">Primary Phase</t>
  </si>
  <si>
    <t xml:space="preserve">Discovery &amp; Architecture</t>
  </si>
  <si>
    <t xml:space="preserve">System design, API contracts, provider onboarding spec, environment setup</t>
  </si>
  <si>
    <t xml:space="preserve">Phase 0</t>
  </si>
  <si>
    <t xml:space="preserve">Core Backend &amp; Infrastructure</t>
  </si>
  <si>
    <t xml:space="preserve">NestJS services, PostgreSQL schema, Redis cache, Docker/K8s, CI/CD</t>
  </si>
  <si>
    <t xml:space="preserve">Phase 1</t>
  </si>
  <si>
    <t xml:space="preserve">Authentication &amp; Security</t>
  </si>
  <si>
    <t xml:space="preserve">JWT, OAuth, biometric login, device authorization, RBAC, encryption</t>
  </si>
  <si>
    <t xml:space="preserve">Content Provider Integration</t>
  </si>
  <si>
    <t xml:space="preserve">Provider layer, REST connectors, playlist &amp; EPG ingestion, auto-sync</t>
  </si>
  <si>
    <t xml:space="preserve">Phase 3</t>
  </si>
  <si>
    <t xml:space="preserve">Normalization Layer</t>
  </si>
  <si>
    <t xml:space="preserve">Unified schema mapping across providers, de-duplication, error handling</t>
  </si>
  <si>
    <t xml:space="preserve">Streaming &amp; Player</t>
  </si>
  <si>
    <t xml:space="preserve">HLS/DASH via FFmpeg, adaptive bitrate, multi-audio/subtitle, casting, PiP</t>
  </si>
  <si>
    <t xml:space="preserve">Live TV &amp; EPG</t>
  </si>
  <si>
    <t xml:space="preserve">Channel categories, program guide, catch-up TV, time-shift, channel search</t>
  </si>
  <si>
    <t xml:space="preserve">VOD — Movies &amp; Series</t>
  </si>
  <si>
    <t xml:space="preserve">Catalog browsing, seasons/episodes, auto-next, skip intro, resume</t>
  </si>
  <si>
    <t xml:space="preserve">Platform Apps — Mobile, Web, Tablet</t>
  </si>
  <si>
    <t xml:space="preserve">Flutter clients for Android, iPhone, Web, Tablet</t>
  </si>
  <si>
    <t xml:space="preserve">Phase 2</t>
  </si>
  <si>
    <t xml:space="preserve">Platform Apps — Android TV &amp; Google TV</t>
  </si>
  <si>
    <t xml:space="preserve">Flutter TV clients, remote-first navigation, D-pad focus system</t>
  </si>
  <si>
    <t xml:space="preserve">Phase 4</t>
  </si>
  <si>
    <t xml:space="preserve">User Accounts &amp; Profiles</t>
  </si>
  <si>
    <t xml:space="preserve">Multi-profile, kids profile, PIN, favorites, watch history, parental controls</t>
  </si>
  <si>
    <t xml:space="preserve">Search &amp; AI Recommendations</t>
  </si>
  <si>
    <t xml:space="preserve">Global search, voice search, AI search, personalization, watch prediction</t>
  </si>
  <si>
    <t xml:space="preserve">Smart Home Integration</t>
  </si>
  <si>
    <t xml:space="preserve">Lights, AC, curtains, locks, cameras, doorbell, scenes, energy monitoring</t>
  </si>
  <si>
    <t xml:space="preserve">Notifications</t>
  </si>
  <si>
    <t xml:space="preserve">New content, smart home &amp; camera alerts, system updates, push infra</t>
  </si>
  <si>
    <t xml:space="preserve">Subscription &amp; Payments</t>
  </si>
  <si>
    <t xml:space="preserve">Plans, billing cycles, coupons, trials, Apple/Google Pay, mada, STC Pay, Stripe</t>
  </si>
  <si>
    <t xml:space="preserve">Admin Dashboard</t>
  </si>
  <si>
    <t xml:space="preserve">User/subscription/content/banner management, analytics, revenue, API keys</t>
  </si>
  <si>
    <t xml:space="preserve">Phase 5</t>
  </si>
  <si>
    <t xml:space="preserve">Beta, QA &amp; Performance</t>
  </si>
  <si>
    <t xml:space="preserve">Closed beta, load testing, crash triage, performance targets, low-bandwidth mode</t>
  </si>
  <si>
    <t xml:space="preserve">Phase 6</t>
  </si>
  <si>
    <t xml:space="preserve">Launch &amp; Post-Launch Roadmap</t>
  </si>
  <si>
    <t xml:space="preserve">Store submissions, CDN cutover, go-live, and Phase 8 roadmap intake</t>
  </si>
  <si>
    <t xml:space="preserve">Phase 7</t>
  </si>
  <si>
    <t xml:space="preserve">Sprint Backlog</t>
  </si>
  <si>
    <t xml:space="preserve">Sprint length: 2 weeks  |  Update Status as work progresses — Overview totals recalculate automatically</t>
  </si>
  <si>
    <t xml:space="preserve">ID</t>
  </si>
  <si>
    <t xml:space="preserve">Task</t>
  </si>
  <si>
    <t xml:space="preserve">Platform / Area</t>
  </si>
  <si>
    <t xml:space="preserve">Sprint</t>
  </si>
  <si>
    <t xml:space="preserve">Notes</t>
  </si>
  <si>
    <t xml:space="preserve">TV-001</t>
  </si>
  <si>
    <t xml:space="preserve">Define system architecture (provider -&gt; normalization -&gt; DB -&gt; cache -&gt; API -&gt; apps)</t>
  </si>
  <si>
    <t xml:space="preserve">Cross-platform</t>
  </si>
  <si>
    <t xml:space="preserve">TV-002</t>
  </si>
  <si>
    <t xml:space="preserve">Author provider onboarding spec (REST, auth, playlist, EPG, HLS URLs)</t>
  </si>
  <si>
    <t xml:space="preserve">Backend</t>
  </si>
  <si>
    <t xml:space="preserve">TV-003</t>
  </si>
  <si>
    <t xml:space="preserve">Define PostgreSQL schema (catalog, users, subscriptions, entitlements)</t>
  </si>
  <si>
    <t xml:space="preserve">TV-004</t>
  </si>
  <si>
    <t xml:space="preserve">Stand up dev/staging environments (Docker, Kubernetes namespace, CDN)</t>
  </si>
  <si>
    <t xml:space="preserve">DevOps</t>
  </si>
  <si>
    <t xml:space="preserve">TV-005</t>
  </si>
  <si>
    <t xml:space="preserve">Define brand design system in Figma (dark theme, navy/green, components)</t>
  </si>
  <si>
    <t xml:space="preserve">Design</t>
  </si>
  <si>
    <t xml:space="preserve">TV-006</t>
  </si>
  <si>
    <t xml:space="preserve">Draft REST API contract (OpenAPI) for application layer</t>
  </si>
  <si>
    <t xml:space="preserve">TV-007</t>
  </si>
  <si>
    <t xml:space="preserve">Scaffold NestJS monorepo with modular service boundaries</t>
  </si>
  <si>
    <t xml:space="preserve">TV-008</t>
  </si>
  <si>
    <t xml:space="preserve">Implement PostgreSQL migrations and seed data</t>
  </si>
  <si>
    <t xml:space="preserve">TV-009</t>
  </si>
  <si>
    <t xml:space="preserve">Stand up Redis cache layer for playlists/EPG/session data</t>
  </si>
  <si>
    <t xml:space="preserve">TV-010</t>
  </si>
  <si>
    <t xml:space="preserve">Implement S3-compatible storage integration for media assets</t>
  </si>
  <si>
    <t xml:space="preserve">TV-011</t>
  </si>
  <si>
    <t xml:space="preserve">Set up CI/CD pipeline (build, test, deploy to staging)</t>
  </si>
  <si>
    <t xml:space="preserve">TV-012</t>
  </si>
  <si>
    <t xml:space="preserve">Containerize services and write Kubernetes manifests</t>
  </si>
  <si>
    <t xml:space="preserve">TV-013</t>
  </si>
  <si>
    <t xml:space="preserve">Implement JWT auth with refresh tokens</t>
  </si>
  <si>
    <t xml:space="preserve">TV-014</t>
  </si>
  <si>
    <t xml:space="preserve">Add OAuth (Google/Apple) login</t>
  </si>
  <si>
    <t xml:space="preserve">TV-015</t>
  </si>
  <si>
    <t xml:space="preserve">Implement biometric login on mobile clients</t>
  </si>
  <si>
    <t xml:space="preserve">Mobile</t>
  </si>
  <si>
    <t xml:space="preserve">TV-016</t>
  </si>
  <si>
    <t xml:space="preserve">Device authorization and session management</t>
  </si>
  <si>
    <t xml:space="preserve">TV-017</t>
  </si>
  <si>
    <t xml:space="preserve">Role-based access control for admin &amp; API</t>
  </si>
  <si>
    <t xml:space="preserve">TV-018</t>
  </si>
  <si>
    <t xml:space="preserve">Enforce HTTPS, API encryption, and secrets management</t>
  </si>
  <si>
    <t xml:space="preserve">TV-019</t>
  </si>
  <si>
    <t xml:space="preserve">Flutter app shell: navigation, theming, routing (Mobile/Web/Tablet)</t>
  </si>
  <si>
    <t xml:space="preserve">Mobile/Web</t>
  </si>
  <si>
    <t xml:space="preserve">TV-020</t>
  </si>
  <si>
    <t xml:space="preserve">Build Home screen (hero banner + content rails)</t>
  </si>
  <si>
    <t xml:space="preserve">TV-021</t>
  </si>
  <si>
    <t xml:space="preserve">Build video player screen (adaptive playback, PiP, casting)</t>
  </si>
  <si>
    <t xml:space="preserve">TV-022</t>
  </si>
  <si>
    <t xml:space="preserve">Implement responsive tablet layout</t>
  </si>
  <si>
    <t xml:space="preserve">Tablet</t>
  </si>
  <si>
    <t xml:space="preserve">TV-023</t>
  </si>
  <si>
    <t xml:space="preserve">Implement Chromecast casting support</t>
  </si>
  <si>
    <t xml:space="preserve">TV-024</t>
  </si>
  <si>
    <t xml:space="preserve">Multi-profile creation and switching</t>
  </si>
  <si>
    <t xml:space="preserve">TV-025</t>
  </si>
  <si>
    <t xml:space="preserve">Kids profile with curated catalog and PIN gate</t>
  </si>
  <si>
    <t xml:space="preserve">TV-026</t>
  </si>
  <si>
    <t xml:space="preserve">Favorites, watch history, and continue-watching sync</t>
  </si>
  <si>
    <t xml:space="preserve">TV-027</t>
  </si>
  <si>
    <t xml:space="preserve">Parental controls with content-rating gates</t>
  </si>
  <si>
    <t xml:space="preserve">TV-028</t>
  </si>
  <si>
    <t xml:space="preserve">Global search UI (movies, series, channels, genres, actors)</t>
  </si>
  <si>
    <t xml:space="preserve">TV-029</t>
  </si>
  <si>
    <t xml:space="preserve">Settings screen (account, playback, notifications, device mgmt)</t>
  </si>
  <si>
    <t xml:space="preserve">TV-030</t>
  </si>
  <si>
    <t xml:space="preserve">Build generic provider adapter interface (auth, REST, playlist, EPG)</t>
  </si>
  <si>
    <t xml:space="preserve">TV-031</t>
  </si>
  <si>
    <t xml:space="preserve">Integrate first licensed IPTV provider end-to-end</t>
  </si>
  <si>
    <t xml:space="preserve">TV-032</t>
  </si>
  <si>
    <t xml:space="preserve">Integrate first licensed VOD provider end-to-end</t>
  </si>
  <si>
    <t xml:space="preserve">TV-033</t>
  </si>
  <si>
    <t xml:space="preserve">Scheduled auto-sync jobs with error handling &amp; retries</t>
  </si>
  <si>
    <t xml:space="preserve">TV-034</t>
  </si>
  <si>
    <t xml:space="preserve">Design unified content schema (movies, series, live, categories)</t>
  </si>
  <si>
    <t xml:space="preserve">TV-035</t>
  </si>
  <si>
    <t xml:space="preserve">Build normalization pipeline with de-duplication</t>
  </si>
  <si>
    <t xml:space="preserve">TV-036</t>
  </si>
  <si>
    <t xml:space="preserve">Cache normalized catalog in Redis with invalidation strategy</t>
  </si>
  <si>
    <t xml:space="preserve">TV-037</t>
  </si>
  <si>
    <t xml:space="preserve">HLS packaging pipeline via FFmpeg</t>
  </si>
  <si>
    <t xml:space="preserve">TV-038</t>
  </si>
  <si>
    <t xml:space="preserve">MPEG-DASH packaging pipeline via FFmpeg</t>
  </si>
  <si>
    <t xml:space="preserve">TV-039</t>
  </si>
  <si>
    <t xml:space="preserve">Adaptive bitrate switching in player</t>
  </si>
  <si>
    <t xml:space="preserve">TV-040</t>
  </si>
  <si>
    <t xml:space="preserve">Multiple audio tracks and subtitle tracks in player</t>
  </si>
  <si>
    <t xml:space="preserve">TV-041</t>
  </si>
  <si>
    <t xml:space="preserve">Playback speed control and manual quality selection</t>
  </si>
  <si>
    <t xml:space="preserve">TV-042</t>
  </si>
  <si>
    <t xml:space="preserve">Channel categories and favorites</t>
  </si>
  <si>
    <t xml:space="preserve">TV-043</t>
  </si>
  <si>
    <t xml:space="preserve">Electronic Program Guide (EPG) UI</t>
  </si>
  <si>
    <t xml:space="preserve">TV-044</t>
  </si>
  <si>
    <t xml:space="preserve">Catch-up TV and time-shift playback</t>
  </si>
  <si>
    <t xml:space="preserve">TV-045</t>
  </si>
  <si>
    <t xml:space="preserve">Channel search</t>
  </si>
  <si>
    <t xml:space="preserve">TV-046</t>
  </si>
  <si>
    <t xml:space="preserve">Movies catalog: trending, latest, popular, continue watching</t>
  </si>
  <si>
    <t xml:space="preserve">TV-047</t>
  </si>
  <si>
    <t xml:space="preserve">Series catalog with full season/episode support</t>
  </si>
  <si>
    <t xml:space="preserve">TV-048</t>
  </si>
  <si>
    <t xml:space="preserve">Auto-play next episode and skip intro</t>
  </si>
  <si>
    <t xml:space="preserve">TV-049</t>
  </si>
  <si>
    <t xml:space="preserve">Flutter TV app shell with D-pad focus navigation</t>
  </si>
  <si>
    <t xml:space="preserve">TV</t>
  </si>
  <si>
    <t xml:space="preserve">TV-050</t>
  </si>
  <si>
    <t xml:space="preserve">Port Home, Live TV, Movies, Series screens to 10-foot UI</t>
  </si>
  <si>
    <t xml:space="preserve">TV-051</t>
  </si>
  <si>
    <t xml:space="preserve">TV-optimized player controls and quick settings</t>
  </si>
  <si>
    <t xml:space="preserve">TV-052</t>
  </si>
  <si>
    <t xml:space="preserve">Google TV channel row &amp; deep-link integration</t>
  </si>
  <si>
    <t xml:space="preserve">TV-053</t>
  </si>
  <si>
    <t xml:space="preserve">Personalized recommendation engine (collaborative + content-based)</t>
  </si>
  <si>
    <t xml:space="preserve">TV-054</t>
  </si>
  <si>
    <t xml:space="preserve">AI-assisted natural-language search</t>
  </si>
  <si>
    <t xml:space="preserve">TV-055</t>
  </si>
  <si>
    <t xml:space="preserve">Voice search integration</t>
  </si>
  <si>
    <t xml:space="preserve">TV-056</t>
  </si>
  <si>
    <t xml:space="preserve">Watch prediction and content classification models</t>
  </si>
  <si>
    <t xml:space="preserve">TV-057</t>
  </si>
  <si>
    <t xml:space="preserve">User behavior analytics pipeline</t>
  </si>
  <si>
    <t xml:space="preserve">TV-058</t>
  </si>
  <si>
    <t xml:space="preserve">Smart home bridge service (lights, AC, curtains, doors, locks)</t>
  </si>
  <si>
    <t xml:space="preserve">TV-059</t>
  </si>
  <si>
    <t xml:space="preserve">Scenes and energy monitoring dashboard widgets</t>
  </si>
  <si>
    <t xml:space="preserve">TV-060</t>
  </si>
  <si>
    <t xml:space="preserve">Live camera viewing, door camera, and recordings</t>
  </si>
  <si>
    <t xml:space="preserve">TV-061</t>
  </si>
  <si>
    <t xml:space="preserve">Voice assistant integration for smart home controls</t>
  </si>
  <si>
    <t xml:space="preserve">TV-062</t>
  </si>
  <si>
    <t xml:space="preserve">Push notification infrastructure (new content, system updates)</t>
  </si>
  <si>
    <t xml:space="preserve">TV-063</t>
  </si>
  <si>
    <t xml:space="preserve">Motion &amp; camera alert notifications</t>
  </si>
  <si>
    <t xml:space="preserve">TV-064</t>
  </si>
  <si>
    <t xml:space="preserve">Plan management: Free, Premium, Family, Business</t>
  </si>
  <si>
    <t xml:space="preserve">TV-065</t>
  </si>
  <si>
    <t xml:space="preserve">Monthly/yearly billing cycles, coupons, and free trial</t>
  </si>
  <si>
    <t xml:space="preserve">TV-066</t>
  </si>
  <si>
    <t xml:space="preserve">Stripe, Visa/Mastercard payment integration</t>
  </si>
  <si>
    <t xml:space="preserve">TV-067</t>
  </si>
  <si>
    <t xml:space="preserve">Apple Pay and Google Pay integration</t>
  </si>
  <si>
    <t xml:space="preserve">TV-068</t>
  </si>
  <si>
    <t xml:space="preserve">mada and STC Pay integration (KSA)</t>
  </si>
  <si>
    <t xml:space="preserve">TV-069</t>
  </si>
  <si>
    <t xml:space="preserve">Admin shell, auth, and role-based navigation</t>
  </si>
  <si>
    <t xml:space="preserve">Admin</t>
  </si>
  <si>
    <t xml:space="preserve">TV-070</t>
  </si>
  <si>
    <t xml:space="preserve">User and subscription management modules</t>
  </si>
  <si>
    <t xml:space="preserve">TV-071</t>
  </si>
  <si>
    <t xml:space="preserve">Channel, movie, and series management modules</t>
  </si>
  <si>
    <t xml:space="preserve">TV-072</t>
  </si>
  <si>
    <t xml:space="preserve">Banner and category management</t>
  </si>
  <si>
    <t xml:space="preserve">TV-073</t>
  </si>
  <si>
    <t xml:space="preserve">Analytics and revenue reporting</t>
  </si>
  <si>
    <t xml:space="preserve">TV-074</t>
  </si>
  <si>
    <t xml:space="preserve">Coupons, notifications console, and API key management</t>
  </si>
  <si>
    <t xml:space="preserve">TV-075</t>
  </si>
  <si>
    <t xml:space="preserve">DRM-readiness integration and content protection review</t>
  </si>
  <si>
    <t xml:space="preserve">TV-076</t>
  </si>
  <si>
    <t xml:space="preserve">External penetration test and remediation</t>
  </si>
  <si>
    <t xml:space="preserve">TV-077</t>
  </si>
  <si>
    <t xml:space="preserve">Closed beta rollout across all six launch platforms</t>
  </si>
  <si>
    <t xml:space="preserve">TV-078</t>
  </si>
  <si>
    <t xml:space="preserve">Performance tuning: app launch &lt; 2s, stream startup &lt; 3s</t>
  </si>
  <si>
    <t xml:space="preserve">TV-079</t>
  </si>
  <si>
    <t xml:space="preserve">Offline cache and low-bandwidth mode</t>
  </si>
  <si>
    <t xml:space="preserve">TV-080</t>
  </si>
  <si>
    <t xml:space="preserve">4K playback validation across supported devices</t>
  </si>
  <si>
    <t xml:space="preserve">TV-081</t>
  </si>
  <si>
    <t xml:space="preserve">Crash triage and stability hardening</t>
  </si>
  <si>
    <t xml:space="preserve">TV-082</t>
  </si>
  <si>
    <t xml:space="preserve">Accessibility and localization QA pass</t>
  </si>
  <si>
    <t xml:space="preserve">TV-083</t>
  </si>
  <si>
    <t xml:space="preserve">App store submissions (Play Store, App Store, TV stores)</t>
  </si>
  <si>
    <t xml:space="preserve">TV-084</t>
  </si>
  <si>
    <t xml:space="preserve">CDN cutover and production monitoring/alerting</t>
  </si>
  <si>
    <t xml:space="preserve">TV-085</t>
  </si>
  <si>
    <t xml:space="preserve">Go-live and launch-day support rotation</t>
  </si>
  <si>
    <t xml:space="preserve">TV-086</t>
  </si>
  <si>
    <t xml:space="preserve">Scope Phase 8 roadmap: Music, Podcasts, Games, Fitness, Education</t>
  </si>
  <si>
    <t xml:space="preserve">Product</t>
  </si>
  <si>
    <t xml:space="preserve">Phase 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</si>
</sst>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7C8794"/>
      <name val="Arial"/>
      <family val="0"/>
      <charset val="1"/>
    </font>
    <font>
      <b val="true"/>
      <sz val="18"/>
      <color rgb="FF0A1B3D"/>
      <name val="Arial"/>
      <family val="0"/>
      <charset val="1"/>
    </font>
    <font>
      <i val="true"/>
      <sz val="10.5"/>
      <color rgb="FF555B66"/>
      <name val="Arial"/>
      <family val="0"/>
      <charset val="1"/>
    </font>
    <font>
      <b val="true"/>
      <sz val="13"/>
      <color rgb="FF13294F"/>
      <name val="Arial"/>
      <family val="0"/>
      <charset val="1"/>
    </font>
    <font>
      <sz val="10.5"/>
      <color rgb="FF1A1A1A"/>
      <name val="Arial"/>
      <family val="0"/>
      <charset val="1"/>
    </font>
    <font>
      <b val="true"/>
      <sz val="10.5"/>
      <color rgb="FF0A1B3D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.5"/>
      <name val="Arial"/>
      <family val="0"/>
      <charset val="1"/>
    </font>
    <font>
      <b val="true"/>
      <sz val="12"/>
      <color rgb="FF13294F"/>
      <name val="Arial"/>
      <family val="0"/>
      <charset val="1"/>
    </font>
    <font>
      <sz val="10"/>
      <color rgb="FF555B66"/>
      <name val="Arial"/>
      <family val="0"/>
      <charset val="1"/>
    </font>
    <font>
      <b val="true"/>
      <sz val="10"/>
      <color rgb="FF0A1B3D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A1B3D"/>
        <bgColor rgb="FF13294F"/>
      </patternFill>
    </fill>
    <fill>
      <patternFill patternType="solid">
        <fgColor rgb="FFF2F4F7"/>
        <bgColor rgb="FFFFFFFF"/>
      </patternFill>
    </fill>
    <fill>
      <patternFill patternType="solid">
        <fgColor rgb="FFFFFFFF"/>
        <bgColor rgb="FFF2F4F7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9C2C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D7F0DD"/>
        </patternFill>
      </fill>
    </dxf>
    <dxf>
      <fill>
        <patternFill>
          <bgColor rgb="FFF7D6D6"/>
        </patternFill>
      </fill>
    </dxf>
    <dxf>
      <fill>
        <patternFill>
          <bgColor rgb="FFFCEFD1"/>
        </patternFill>
      </fill>
    </dxf>
    <dxf>
      <font>
        <name val="Arial"/>
        <charset val="1"/>
        <family val="0"/>
        <b val="1"/>
        <color rgb="FFB0002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20"/>
      <rgbColor rgb="FF008000"/>
      <rgbColor rgb="FF000080"/>
      <rgbColor rgb="FF808000"/>
      <rgbColor rgb="FF800080"/>
      <rgbColor rgb="FF008080"/>
      <rgbColor rgb="FFB9C2CE"/>
      <rgbColor rgb="FF7C8794"/>
      <rgbColor rgb="FF9999FF"/>
      <rgbColor rgb="FF993366"/>
      <rgbColor rgb="FFFCEFD1"/>
      <rgbColor rgb="FFF2F4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F0DD"/>
      <rgbColor rgb="FFFFFF99"/>
      <rgbColor rgb="FF99CCFF"/>
      <rgbColor rgb="FFFF99CC"/>
      <rgbColor rgb="FFCC99FF"/>
      <rgbColor rgb="FFF7D6D6"/>
      <rgbColor rgb="FF3366FF"/>
      <rgbColor rgb="FF33CCCC"/>
      <rgbColor rgb="FF99CC00"/>
      <rgbColor rgb="FFFFCC00"/>
      <rgbColor rgb="FFFF9900"/>
      <rgbColor rgb="FFFF6600"/>
      <rgbColor rgb="FF555B66"/>
      <rgbColor rgb="FF969696"/>
      <rgbColor rgb="FF13294F"/>
      <rgbColor rgb="FF339966"/>
      <rgbColor rgb="FF0A1B3D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2"/>
    <col collapsed="false" customWidth="true" hidden="false" outlineLevel="0" max="5" min="5" style="0" width="22"/>
    <col collapsed="false" customWidth="true" hidden="false" outlineLevel="0" max="6" min="6" style="0" width="10"/>
  </cols>
  <sheetData>
    <row r="1" customFormat="false" ht="15" hidden="false" customHeight="false" outlineLevel="0" collapsed="false">
      <c r="A1" s="1" t="s">
        <v>0</v>
      </c>
    </row>
    <row r="2" customFormat="false" ht="22.0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6.15" hidden="false" customHeight="false" outlineLevel="0" collapsed="false">
      <c r="A5" s="4" t="s">
        <v>3</v>
      </c>
    </row>
    <row r="6" customFormat="false" ht="15" hidden="false" customHeight="false" outlineLevel="0" collapsed="false">
      <c r="A6" s="5" t="s">
        <v>4</v>
      </c>
      <c r="B6" s="6" t="n">
        <f aca="false">COUNTA(Backlog!A6:A200)</f>
        <v>86</v>
      </c>
    </row>
    <row r="7" customFormat="false" ht="15" hidden="false" customHeight="false" outlineLevel="0" collapsed="false">
      <c r="A7" s="5" t="s">
        <v>5</v>
      </c>
      <c r="B7" s="6" t="n">
        <f aca="false">SUM(Backlog!F6:F200)</f>
        <v>503</v>
      </c>
    </row>
    <row r="8" customFormat="false" ht="15" hidden="false" customHeight="false" outlineLevel="0" collapsed="false">
      <c r="A8" s="5" t="s">
        <v>6</v>
      </c>
      <c r="B8" s="6" t="n">
        <f aca="false">COUNTA(Epics!A6:A50)</f>
        <v>18</v>
      </c>
    </row>
    <row r="9" customFormat="false" ht="15" hidden="false" customHeight="false" outlineLevel="0" collapsed="false">
      <c r="A9" s="5" t="s">
        <v>7</v>
      </c>
      <c r="B9" s="6" t="n">
        <f aca="false">MAX(Backlog!G6:G200)</f>
        <v>25</v>
      </c>
    </row>
    <row r="10" customFormat="false" ht="15" hidden="false" customHeight="false" outlineLevel="0" collapsed="false">
      <c r="A10" s="5" t="s">
        <v>8</v>
      </c>
      <c r="B10" s="6" t="n">
        <f aca="false">B9*2</f>
        <v>50</v>
      </c>
    </row>
    <row r="11" customFormat="false" ht="15" hidden="false" customHeight="false" outlineLevel="0" collapsed="false">
      <c r="A11" s="5" t="s">
        <v>9</v>
      </c>
      <c r="B11" s="7" t="n">
        <f aca="false">IFERROR(COUNTIFS(Backlog!I6:I200,"Done")/COUNTA(Backlog!A6:A200),0)</f>
        <v>0</v>
      </c>
    </row>
    <row r="13" customFormat="false" ht="16.15" hidden="false" customHeight="false" outlineLevel="0" collapsed="false">
      <c r="A13" s="4" t="s">
        <v>10</v>
      </c>
      <c r="E13" s="4" t="s">
        <v>11</v>
      </c>
    </row>
    <row r="14" customFormat="false" ht="15" hidden="false" customHeight="false" outlineLevel="0" collapsed="false">
      <c r="A14" s="8" t="s">
        <v>12</v>
      </c>
      <c r="B14" s="8" t="s">
        <v>13</v>
      </c>
      <c r="C14" s="8" t="s">
        <v>14</v>
      </c>
      <c r="E14" s="9" t="s">
        <v>15</v>
      </c>
      <c r="F14" s="9" t="s">
        <v>13</v>
      </c>
    </row>
    <row r="15" customFormat="false" ht="15" hidden="false" customHeight="false" outlineLevel="0" collapsed="false">
      <c r="A15" s="10" t="str">
        <f aca="false">Epics!A6</f>
        <v>Discovery &amp; Architecture</v>
      </c>
      <c r="B15" s="10" t="n">
        <f aca="false">COUNTIF(Backlog!$B$6:$B$200,A15)</f>
        <v>6</v>
      </c>
      <c r="C15" s="10" t="n">
        <f aca="false">SUMIF(Backlog!$B$6:$B$200,A15,Backlog!$F$6:$F$200)</f>
        <v>31</v>
      </c>
      <c r="E15" s="11" t="s">
        <v>16</v>
      </c>
      <c r="F15" s="11" t="n">
        <f aca="false">COUNTIF(Backlog!$E$6:$E$200,"P0 - Critical")</f>
        <v>39</v>
      </c>
    </row>
    <row r="16" customFormat="false" ht="15" hidden="false" customHeight="false" outlineLevel="0" collapsed="false">
      <c r="A16" s="12" t="str">
        <f aca="false">Epics!A7</f>
        <v>Core Backend &amp; Infrastructure</v>
      </c>
      <c r="B16" s="12" t="n">
        <f aca="false">COUNTIF(Backlog!$B$6:$B$200,A16)</f>
        <v>6</v>
      </c>
      <c r="C16" s="12" t="n">
        <f aca="false">SUMIF(Backlog!$B$6:$B$200,A16,Backlog!$F$6:$F$200)</f>
        <v>26</v>
      </c>
      <c r="E16" s="13" t="s">
        <v>17</v>
      </c>
      <c r="F16" s="13" t="n">
        <f aca="false">COUNTIF(Backlog!$E$6:$E$200,"P1 - High")</f>
        <v>32</v>
      </c>
    </row>
    <row r="17" customFormat="false" ht="15" hidden="false" customHeight="false" outlineLevel="0" collapsed="false">
      <c r="A17" s="10" t="str">
        <f aca="false">Epics!A8</f>
        <v>Authentication &amp; Security</v>
      </c>
      <c r="B17" s="10" t="n">
        <f aca="false">COUNTIF(Backlog!$B$6:$B$200,A17)</f>
        <v>8</v>
      </c>
      <c r="C17" s="10" t="n">
        <f aca="false">SUMIF(Backlog!$B$6:$B$200,A17,Backlog!$F$6:$F$200)</f>
        <v>42</v>
      </c>
      <c r="E17" s="11" t="s">
        <v>18</v>
      </c>
      <c r="F17" s="11" t="n">
        <f aca="false">COUNTIF(Backlog!$E$6:$E$200,"P2 - Medium")</f>
        <v>15</v>
      </c>
    </row>
    <row r="18" customFormat="false" ht="15" hidden="false" customHeight="false" outlineLevel="0" collapsed="false">
      <c r="A18" s="12" t="str">
        <f aca="false">Epics!A9</f>
        <v>Content Provider Integration</v>
      </c>
      <c r="B18" s="12" t="n">
        <f aca="false">COUNTIF(Backlog!$B$6:$B$200,A18)</f>
        <v>4</v>
      </c>
      <c r="C18" s="12" t="n">
        <f aca="false">SUMIF(Backlog!$B$6:$B$200,A18,Backlog!$F$6:$F$200)</f>
        <v>29</v>
      </c>
      <c r="E18" s="13" t="s">
        <v>19</v>
      </c>
      <c r="F18" s="13" t="n">
        <f aca="false">COUNTIF(Backlog!$E$6:$E$200,"P3 - Low")</f>
        <v>0</v>
      </c>
    </row>
    <row r="19" customFormat="false" ht="15" hidden="false" customHeight="false" outlineLevel="0" collapsed="false">
      <c r="A19" s="10" t="str">
        <f aca="false">Epics!A10</f>
        <v>Normalization Layer</v>
      </c>
      <c r="B19" s="10" t="n">
        <f aca="false">COUNTIF(Backlog!$B$6:$B$200,A19)</f>
        <v>3</v>
      </c>
      <c r="C19" s="10" t="n">
        <f aca="false">SUMIF(Backlog!$B$6:$B$200,A19,Backlog!$F$6:$F$200)</f>
        <v>18</v>
      </c>
    </row>
    <row r="20" customFormat="false" ht="15" hidden="false" customHeight="false" outlineLevel="0" collapsed="false">
      <c r="A20" s="12" t="str">
        <f aca="false">Epics!A11</f>
        <v>Streaming &amp; Player</v>
      </c>
      <c r="B20" s="12" t="n">
        <f aca="false">COUNTIF(Backlog!$B$6:$B$200,A20)</f>
        <v>5</v>
      </c>
      <c r="C20" s="12" t="n">
        <f aca="false">SUMIF(Backlog!$B$6:$B$200,A20,Backlog!$F$6:$F$200)</f>
        <v>26</v>
      </c>
    </row>
    <row r="21" customFormat="false" ht="16.15" hidden="false" customHeight="false" outlineLevel="0" collapsed="false">
      <c r="A21" s="10" t="str">
        <f aca="false">Epics!A12</f>
        <v>Live TV &amp; EPG</v>
      </c>
      <c r="B21" s="10" t="n">
        <f aca="false">COUNTIF(Backlog!$B$6:$B$200,A21)</f>
        <v>4</v>
      </c>
      <c r="C21" s="10" t="n">
        <f aca="false">SUMIF(Backlog!$B$6:$B$200,A21,Backlog!$F$6:$F$200)</f>
        <v>24</v>
      </c>
      <c r="E21" s="4" t="s">
        <v>20</v>
      </c>
    </row>
    <row r="22" customFormat="false" ht="15" hidden="false" customHeight="false" outlineLevel="0" collapsed="false">
      <c r="A22" s="12" t="str">
        <f aca="false">Epics!A13</f>
        <v>VOD — Movies &amp; Series</v>
      </c>
      <c r="B22" s="12" t="n">
        <f aca="false">COUNTIF(Backlog!$B$6:$B$200,A22)</f>
        <v>3</v>
      </c>
      <c r="C22" s="12" t="n">
        <f aca="false">SUMIF(Backlog!$B$6:$B$200,A22,Backlog!$F$6:$F$200)</f>
        <v>18</v>
      </c>
      <c r="E22" s="9" t="s">
        <v>21</v>
      </c>
      <c r="F22" s="9" t="s">
        <v>13</v>
      </c>
    </row>
    <row r="23" customFormat="false" ht="15" hidden="false" customHeight="false" outlineLevel="0" collapsed="false">
      <c r="A23" s="10" t="str">
        <f aca="false">Epics!A14</f>
        <v>Platform Apps — Mobile, Web, Tablet</v>
      </c>
      <c r="B23" s="10" t="n">
        <f aca="false">COUNTIF(Backlog!$B$6:$B$200,A23)</f>
        <v>7</v>
      </c>
      <c r="C23" s="10" t="n">
        <f aca="false">SUMIF(Backlog!$B$6:$B$200,A23,Backlog!$F$6:$F$200)</f>
        <v>42</v>
      </c>
      <c r="E23" s="14" t="s">
        <v>22</v>
      </c>
      <c r="F23" s="14" t="n">
        <f aca="false">COUNTIF(Backlog!$I$6:$I$200,"Not Started")</f>
        <v>86</v>
      </c>
    </row>
    <row r="24" customFormat="false" ht="25.35" hidden="false" customHeight="false" outlineLevel="0" collapsed="false">
      <c r="A24" s="12" t="str">
        <f aca="false">Epics!A15</f>
        <v>Platform Apps — Android TV &amp; Google TV</v>
      </c>
      <c r="B24" s="12" t="n">
        <f aca="false">COUNTIF(Backlog!$B$6:$B$200,A24)</f>
        <v>4</v>
      </c>
      <c r="C24" s="12" t="n">
        <f aca="false">SUMIF(Backlog!$B$6:$B$200,A24,Backlog!$F$6:$F$200)</f>
        <v>31</v>
      </c>
      <c r="E24" s="15" t="s">
        <v>23</v>
      </c>
      <c r="F24" s="15" t="n">
        <f aca="false">COUNTIF(Backlog!$I$6:$I$200,"In Progress")</f>
        <v>0</v>
      </c>
    </row>
    <row r="25" customFormat="false" ht="15" hidden="false" customHeight="false" outlineLevel="0" collapsed="false">
      <c r="A25" s="10" t="str">
        <f aca="false">Epics!A16</f>
        <v>User Accounts &amp; Profiles</v>
      </c>
      <c r="B25" s="10" t="n">
        <f aca="false">COUNTIF(Backlog!$B$6:$B$200,A25)</f>
        <v>4</v>
      </c>
      <c r="C25" s="10" t="n">
        <f aca="false">SUMIF(Backlog!$B$6:$B$200,A25,Backlog!$F$6:$F$200)</f>
        <v>18</v>
      </c>
      <c r="E25" s="14" t="s">
        <v>24</v>
      </c>
      <c r="F25" s="14" t="n">
        <f aca="false">COUNTIF(Backlog!$I$6:$I$200,"Done")</f>
        <v>0</v>
      </c>
    </row>
    <row r="26" customFormat="false" ht="15" hidden="false" customHeight="false" outlineLevel="0" collapsed="false">
      <c r="A26" s="12" t="str">
        <f aca="false">Epics!A17</f>
        <v>Search &amp; AI Recommendations</v>
      </c>
      <c r="B26" s="12" t="n">
        <f aca="false">COUNTIF(Backlog!$B$6:$B$200,A26)</f>
        <v>5</v>
      </c>
      <c r="C26" s="12" t="n">
        <f aca="false">SUMIF(Backlog!$B$6:$B$200,A26,Backlog!$F$6:$F$200)</f>
        <v>39</v>
      </c>
      <c r="E26" s="15" t="s">
        <v>25</v>
      </c>
      <c r="F26" s="15" t="n">
        <f aca="false">COUNTIF(Backlog!$I$6:$I$200,"Blocked")</f>
        <v>0</v>
      </c>
    </row>
    <row r="27" customFormat="false" ht="15" hidden="false" customHeight="false" outlineLevel="0" collapsed="false">
      <c r="A27" s="10" t="str">
        <f aca="false">Epics!A18</f>
        <v>Smart Home Integration</v>
      </c>
      <c r="B27" s="10" t="n">
        <f aca="false">COUNTIF(Backlog!$B$6:$B$200,A27)</f>
        <v>4</v>
      </c>
      <c r="C27" s="10" t="n">
        <f aca="false">SUMIF(Backlog!$B$6:$B$200,A27,Backlog!$F$6:$F$200)</f>
        <v>26</v>
      </c>
    </row>
    <row r="28" customFormat="false" ht="15" hidden="false" customHeight="false" outlineLevel="0" collapsed="false">
      <c r="A28" s="12" t="str">
        <f aca="false">Epics!A19</f>
        <v>Notifications</v>
      </c>
      <c r="B28" s="12" t="n">
        <f aca="false">COUNTIF(Backlog!$B$6:$B$200,A28)</f>
        <v>2</v>
      </c>
      <c r="C28" s="12" t="n">
        <f aca="false">SUMIF(Backlog!$B$6:$B$200,A28,Backlog!$F$6:$F$200)</f>
        <v>8</v>
      </c>
    </row>
    <row r="29" customFormat="false" ht="15" hidden="false" customHeight="false" outlineLevel="0" collapsed="false">
      <c r="A29" s="10" t="str">
        <f aca="false">Epics!A20</f>
        <v>Subscription &amp; Payments</v>
      </c>
      <c r="B29" s="10" t="n">
        <f aca="false">COUNTIF(Backlog!$B$6:$B$200,A29)</f>
        <v>5</v>
      </c>
      <c r="C29" s="10" t="n">
        <f aca="false">SUMIF(Backlog!$B$6:$B$200,A29,Backlog!$F$6:$F$200)</f>
        <v>31</v>
      </c>
    </row>
    <row r="30" customFormat="false" ht="15" hidden="false" customHeight="false" outlineLevel="0" collapsed="false">
      <c r="A30" s="12" t="str">
        <f aca="false">Epics!A21</f>
        <v>Admin Dashboard</v>
      </c>
      <c r="B30" s="12" t="n">
        <f aca="false">COUNTIF(Backlog!$B$6:$B$200,A30)</f>
        <v>6</v>
      </c>
      <c r="C30" s="12" t="n">
        <f aca="false">SUMIF(Backlog!$B$6:$B$200,A30,Backlog!$F$6:$F$200)</f>
        <v>39</v>
      </c>
    </row>
    <row r="31" customFormat="false" ht="15" hidden="false" customHeight="false" outlineLevel="0" collapsed="false">
      <c r="A31" s="10" t="str">
        <f aca="false">Epics!A22</f>
        <v>Beta, QA &amp; Performance</v>
      </c>
      <c r="B31" s="10" t="n">
        <f aca="false">COUNTIF(Backlog!$B$6:$B$200,A31)</f>
        <v>6</v>
      </c>
      <c r="C31" s="10" t="n">
        <f aca="false">SUMIF(Backlog!$B$6:$B$200,A31,Backlog!$F$6:$F$200)</f>
        <v>39</v>
      </c>
    </row>
    <row r="32" customFormat="false" ht="15" hidden="false" customHeight="false" outlineLevel="0" collapsed="false">
      <c r="A32" s="12" t="str">
        <f aca="false">Epics!A23</f>
        <v>Launch &amp; Post-Launch Roadmap</v>
      </c>
      <c r="B32" s="12" t="n">
        <f aca="false">COUNTIF(Backlog!$B$6:$B$200,A32)</f>
        <v>4</v>
      </c>
      <c r="C32" s="12" t="n">
        <f aca="false">SUMIF(Backlog!$B$6:$B$200,A32,Backlog!$F$6:$F$200)</f>
        <v>16</v>
      </c>
    </row>
    <row r="34" customFormat="false" ht="15" hidden="false" customHeight="false" outlineLevel="0" collapsed="false">
      <c r="A34" s="16" t="s">
        <v>26</v>
      </c>
    </row>
    <row r="35" customFormat="false" ht="15" hidden="false" customHeight="false" outlineLevel="0" collapsed="false">
      <c r="A35" s="17" t="s">
        <v>27</v>
      </c>
    </row>
    <row r="36" customFormat="false" ht="15" hidden="false" customHeight="false" outlineLevel="0" collapsed="false">
      <c r="A36" s="17" t="s">
        <v>28</v>
      </c>
    </row>
    <row r="37" customFormat="false" ht="15" hidden="false" customHeight="false" outlineLevel="0" collapsed="false">
      <c r="A37" s="17" t="s">
        <v>29</v>
      </c>
    </row>
    <row r="38" customFormat="false" ht="15" hidden="false" customHeight="false" outlineLevel="0" collapsed="false">
      <c r="A38" s="17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6"/>
    <col collapsed="false" customWidth="true" hidden="false" outlineLevel="0" max="3" min="3" style="0" width="13"/>
    <col collapsed="false" customWidth="true" hidden="false" outlineLevel="0" max="5" min="4" style="0" width="9"/>
    <col collapsed="false" customWidth="true" hidden="false" outlineLevel="0" max="6" min="6" style="0" width="48"/>
  </cols>
  <sheetData>
    <row r="1" customFormat="false" ht="15" hidden="false" customHeight="false" outlineLevel="0" collapsed="false">
      <c r="A1" s="1" t="s">
        <v>0</v>
      </c>
    </row>
    <row r="2" customFormat="false" ht="22.05" hidden="false" customHeight="false" outlineLevel="0" collapsed="false">
      <c r="A2" s="2" t="s">
        <v>31</v>
      </c>
    </row>
    <row r="3" customFormat="false" ht="15" hidden="false" customHeight="false" outlineLevel="0" collapsed="false">
      <c r="A3" s="3" t="s">
        <v>32</v>
      </c>
    </row>
    <row r="5" customFormat="false" ht="26.85" hidden="false" customHeight="false" outlineLevel="0" collapsed="false">
      <c r="A5" s="8" t="s">
        <v>33</v>
      </c>
      <c r="B5" s="8" t="s">
        <v>34</v>
      </c>
      <c r="C5" s="8" t="s">
        <v>35</v>
      </c>
      <c r="D5" s="8" t="s">
        <v>36</v>
      </c>
      <c r="E5" s="8" t="s">
        <v>37</v>
      </c>
      <c r="F5" s="8" t="s">
        <v>38</v>
      </c>
    </row>
    <row r="6" customFormat="false" ht="25.35" hidden="false" customHeight="false" outlineLevel="0" collapsed="false">
      <c r="A6" s="18" t="s">
        <v>39</v>
      </c>
      <c r="B6" s="10" t="s">
        <v>40</v>
      </c>
      <c r="C6" s="10" t="n">
        <v>4</v>
      </c>
      <c r="D6" s="10" t="n">
        <v>1</v>
      </c>
      <c r="E6" s="10" t="n">
        <v>4</v>
      </c>
      <c r="F6" s="10" t="s">
        <v>41</v>
      </c>
    </row>
    <row r="7" customFormat="false" ht="25.35" hidden="false" customHeight="false" outlineLevel="0" collapsed="false">
      <c r="A7" s="19" t="s">
        <v>42</v>
      </c>
      <c r="B7" s="12" t="s">
        <v>43</v>
      </c>
      <c r="C7" s="12" t="n">
        <v>8</v>
      </c>
      <c r="D7" s="12" t="n">
        <v>5</v>
      </c>
      <c r="E7" s="12" t="n">
        <v>12</v>
      </c>
      <c r="F7" s="12" t="s">
        <v>44</v>
      </c>
    </row>
    <row r="8" customFormat="false" ht="25.35" hidden="false" customHeight="false" outlineLevel="0" collapsed="false">
      <c r="A8" s="18" t="s">
        <v>45</v>
      </c>
      <c r="B8" s="10" t="s">
        <v>46</v>
      </c>
      <c r="C8" s="10" t="n">
        <v>10</v>
      </c>
      <c r="D8" s="10" t="n">
        <v>13</v>
      </c>
      <c r="E8" s="10" t="n">
        <v>22</v>
      </c>
      <c r="F8" s="10" t="s">
        <v>47</v>
      </c>
    </row>
    <row r="9" customFormat="false" ht="25.35" hidden="false" customHeight="false" outlineLevel="0" collapsed="false">
      <c r="A9" s="19" t="s">
        <v>48</v>
      </c>
      <c r="B9" s="12" t="s">
        <v>49</v>
      </c>
      <c r="C9" s="12" t="n">
        <v>8</v>
      </c>
      <c r="D9" s="12" t="n">
        <v>23</v>
      </c>
      <c r="E9" s="12" t="n">
        <v>30</v>
      </c>
      <c r="F9" s="12" t="s">
        <v>50</v>
      </c>
    </row>
    <row r="10" customFormat="false" ht="25.35" hidden="false" customHeight="false" outlineLevel="0" collapsed="false">
      <c r="A10" s="18" t="s">
        <v>51</v>
      </c>
      <c r="B10" s="10" t="s">
        <v>52</v>
      </c>
      <c r="C10" s="10" t="n">
        <v>8</v>
      </c>
      <c r="D10" s="10" t="n">
        <v>31</v>
      </c>
      <c r="E10" s="10" t="n">
        <v>38</v>
      </c>
      <c r="F10" s="10" t="s">
        <v>53</v>
      </c>
    </row>
    <row r="11" customFormat="false" ht="25.35" hidden="false" customHeight="false" outlineLevel="0" collapsed="false">
      <c r="A11" s="19" t="s">
        <v>54</v>
      </c>
      <c r="B11" s="12" t="s">
        <v>55</v>
      </c>
      <c r="C11" s="12" t="n">
        <v>6</v>
      </c>
      <c r="D11" s="12" t="n">
        <v>39</v>
      </c>
      <c r="E11" s="12" t="n">
        <v>44</v>
      </c>
      <c r="F11" s="12" t="s">
        <v>56</v>
      </c>
    </row>
    <row r="12" customFormat="false" ht="25.35" hidden="false" customHeight="false" outlineLevel="0" collapsed="false">
      <c r="A12" s="18" t="s">
        <v>57</v>
      </c>
      <c r="B12" s="10" t="s">
        <v>58</v>
      </c>
      <c r="C12" s="10" t="n">
        <v>6</v>
      </c>
      <c r="D12" s="10" t="n">
        <v>45</v>
      </c>
      <c r="E12" s="10" t="n">
        <v>50</v>
      </c>
      <c r="F12" s="10" t="s">
        <v>59</v>
      </c>
    </row>
    <row r="13" customFormat="false" ht="25.35" hidden="false" customHeight="false" outlineLevel="0" collapsed="false">
      <c r="A13" s="19" t="s">
        <v>60</v>
      </c>
      <c r="B13" s="12" t="s">
        <v>61</v>
      </c>
      <c r="C13" s="12" t="n">
        <v>2</v>
      </c>
      <c r="D13" s="12" t="n">
        <v>51</v>
      </c>
      <c r="E13" s="12" t="n">
        <v>52</v>
      </c>
      <c r="F13" s="12" t="s">
        <v>62</v>
      </c>
    </row>
    <row r="14" customFormat="false" ht="25.35" hidden="false" customHeight="false" outlineLevel="0" collapsed="false">
      <c r="A14" s="18" t="s">
        <v>63</v>
      </c>
      <c r="B14" s="10" t="s">
        <v>64</v>
      </c>
      <c r="C14" s="10" t="s">
        <v>65</v>
      </c>
      <c r="D14" s="10" t="s">
        <v>66</v>
      </c>
      <c r="E14" s="10" t="s">
        <v>66</v>
      </c>
      <c r="F14" s="10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62"/>
    <col collapsed="false" customWidth="true" hidden="false" outlineLevel="0" max="4" min="3" style="0" width="14"/>
  </cols>
  <sheetData>
    <row r="1" customFormat="false" ht="15" hidden="false" customHeight="false" outlineLevel="0" collapsed="false">
      <c r="A1" s="1" t="s">
        <v>0</v>
      </c>
    </row>
    <row r="2" customFormat="false" ht="22.05" hidden="false" customHeight="false" outlineLevel="0" collapsed="false">
      <c r="A2" s="2" t="s">
        <v>6</v>
      </c>
    </row>
    <row r="3" customFormat="false" ht="15" hidden="false" customHeight="false" outlineLevel="0" collapsed="false">
      <c r="A3" s="3" t="s">
        <v>68</v>
      </c>
    </row>
    <row r="5" customFormat="false" ht="26.85" hidden="false" customHeight="false" outlineLevel="0" collapsed="false">
      <c r="A5" s="8" t="s">
        <v>12</v>
      </c>
      <c r="B5" s="8" t="s">
        <v>69</v>
      </c>
      <c r="C5" s="8" t="s">
        <v>70</v>
      </c>
      <c r="D5" s="8" t="s">
        <v>15</v>
      </c>
    </row>
    <row r="6" customFormat="false" ht="25.35" hidden="false" customHeight="false" outlineLevel="0" collapsed="false">
      <c r="A6" s="18" t="s">
        <v>71</v>
      </c>
      <c r="B6" s="10" t="s">
        <v>72</v>
      </c>
      <c r="C6" s="10" t="s">
        <v>73</v>
      </c>
      <c r="D6" s="10" t="s">
        <v>16</v>
      </c>
    </row>
    <row r="7" customFormat="false" ht="25.35" hidden="false" customHeight="false" outlineLevel="0" collapsed="false">
      <c r="A7" s="19" t="s">
        <v>74</v>
      </c>
      <c r="B7" s="12" t="s">
        <v>75</v>
      </c>
      <c r="C7" s="12" t="s">
        <v>76</v>
      </c>
      <c r="D7" s="12" t="s">
        <v>16</v>
      </c>
    </row>
    <row r="8" customFormat="false" ht="15" hidden="false" customHeight="false" outlineLevel="0" collapsed="false">
      <c r="A8" s="18" t="s">
        <v>77</v>
      </c>
      <c r="B8" s="10" t="s">
        <v>78</v>
      </c>
      <c r="C8" s="10" t="s">
        <v>76</v>
      </c>
      <c r="D8" s="10" t="s">
        <v>16</v>
      </c>
    </row>
    <row r="9" customFormat="false" ht="15" hidden="false" customHeight="false" outlineLevel="0" collapsed="false">
      <c r="A9" s="19" t="s">
        <v>79</v>
      </c>
      <c r="B9" s="12" t="s">
        <v>80</v>
      </c>
      <c r="C9" s="12" t="s">
        <v>81</v>
      </c>
      <c r="D9" s="12" t="s">
        <v>16</v>
      </c>
    </row>
    <row r="10" customFormat="false" ht="25.35" hidden="false" customHeight="false" outlineLevel="0" collapsed="false">
      <c r="A10" s="18" t="s">
        <v>82</v>
      </c>
      <c r="B10" s="10" t="s">
        <v>83</v>
      </c>
      <c r="C10" s="10" t="s">
        <v>81</v>
      </c>
      <c r="D10" s="10" t="s">
        <v>16</v>
      </c>
    </row>
    <row r="11" customFormat="false" ht="25.35" hidden="false" customHeight="false" outlineLevel="0" collapsed="false">
      <c r="A11" s="19" t="s">
        <v>84</v>
      </c>
      <c r="B11" s="12" t="s">
        <v>85</v>
      </c>
      <c r="C11" s="12" t="s">
        <v>81</v>
      </c>
      <c r="D11" s="12" t="s">
        <v>16</v>
      </c>
    </row>
    <row r="12" customFormat="false" ht="25.35" hidden="false" customHeight="false" outlineLevel="0" collapsed="false">
      <c r="A12" s="18" t="s">
        <v>86</v>
      </c>
      <c r="B12" s="10" t="s">
        <v>87</v>
      </c>
      <c r="C12" s="10" t="s">
        <v>81</v>
      </c>
      <c r="D12" s="10" t="s">
        <v>17</v>
      </c>
    </row>
    <row r="13" customFormat="false" ht="15" hidden="false" customHeight="false" outlineLevel="0" collapsed="false">
      <c r="A13" s="19" t="s">
        <v>88</v>
      </c>
      <c r="B13" s="12" t="s">
        <v>89</v>
      </c>
      <c r="C13" s="12" t="s">
        <v>81</v>
      </c>
      <c r="D13" s="12" t="s">
        <v>17</v>
      </c>
    </row>
    <row r="14" customFormat="false" ht="25.35" hidden="false" customHeight="false" outlineLevel="0" collapsed="false">
      <c r="A14" s="18" t="s">
        <v>90</v>
      </c>
      <c r="B14" s="10" t="s">
        <v>91</v>
      </c>
      <c r="C14" s="10" t="s">
        <v>92</v>
      </c>
      <c r="D14" s="10" t="s">
        <v>16</v>
      </c>
    </row>
    <row r="15" customFormat="false" ht="25.35" hidden="false" customHeight="false" outlineLevel="0" collapsed="false">
      <c r="A15" s="19" t="s">
        <v>93</v>
      </c>
      <c r="B15" s="12" t="s">
        <v>94</v>
      </c>
      <c r="C15" s="12" t="s">
        <v>95</v>
      </c>
      <c r="D15" s="12" t="s">
        <v>16</v>
      </c>
    </row>
    <row r="16" customFormat="false" ht="15" hidden="false" customHeight="false" outlineLevel="0" collapsed="false">
      <c r="A16" s="18" t="s">
        <v>96</v>
      </c>
      <c r="B16" s="10" t="s">
        <v>97</v>
      </c>
      <c r="C16" s="10" t="s">
        <v>92</v>
      </c>
      <c r="D16" s="10" t="s">
        <v>17</v>
      </c>
    </row>
    <row r="17" customFormat="false" ht="25.35" hidden="false" customHeight="false" outlineLevel="0" collapsed="false">
      <c r="A17" s="19" t="s">
        <v>98</v>
      </c>
      <c r="B17" s="12" t="s">
        <v>99</v>
      </c>
      <c r="C17" s="12" t="s">
        <v>95</v>
      </c>
      <c r="D17" s="12" t="s">
        <v>17</v>
      </c>
    </row>
    <row r="18" customFormat="false" ht="25.35" hidden="false" customHeight="false" outlineLevel="0" collapsed="false">
      <c r="A18" s="18" t="s">
        <v>100</v>
      </c>
      <c r="B18" s="10" t="s">
        <v>101</v>
      </c>
      <c r="C18" s="10" t="s">
        <v>95</v>
      </c>
      <c r="D18" s="10" t="s">
        <v>17</v>
      </c>
    </row>
    <row r="19" customFormat="false" ht="15" hidden="false" customHeight="false" outlineLevel="0" collapsed="false">
      <c r="A19" s="19" t="s">
        <v>102</v>
      </c>
      <c r="B19" s="12" t="s">
        <v>103</v>
      </c>
      <c r="C19" s="12" t="s">
        <v>95</v>
      </c>
      <c r="D19" s="12" t="s">
        <v>18</v>
      </c>
    </row>
    <row r="20" customFormat="false" ht="25.35" hidden="false" customHeight="false" outlineLevel="0" collapsed="false">
      <c r="A20" s="18" t="s">
        <v>104</v>
      </c>
      <c r="B20" s="10" t="s">
        <v>105</v>
      </c>
      <c r="C20" s="10" t="s">
        <v>95</v>
      </c>
      <c r="D20" s="10" t="s">
        <v>16</v>
      </c>
    </row>
    <row r="21" customFormat="false" ht="25.35" hidden="false" customHeight="false" outlineLevel="0" collapsed="false">
      <c r="A21" s="19" t="s">
        <v>106</v>
      </c>
      <c r="B21" s="12" t="s">
        <v>107</v>
      </c>
      <c r="C21" s="12" t="s">
        <v>108</v>
      </c>
      <c r="D21" s="12" t="s">
        <v>17</v>
      </c>
    </row>
    <row r="22" customFormat="false" ht="25.35" hidden="false" customHeight="false" outlineLevel="0" collapsed="false">
      <c r="A22" s="18" t="s">
        <v>109</v>
      </c>
      <c r="B22" s="10" t="s">
        <v>110</v>
      </c>
      <c r="C22" s="10" t="s">
        <v>111</v>
      </c>
      <c r="D22" s="10" t="s">
        <v>16</v>
      </c>
    </row>
    <row r="23" customFormat="false" ht="15" hidden="false" customHeight="false" outlineLevel="0" collapsed="false">
      <c r="A23" s="19" t="s">
        <v>112</v>
      </c>
      <c r="B23" s="12" t="s">
        <v>113</v>
      </c>
      <c r="C23" s="12" t="s">
        <v>114</v>
      </c>
      <c r="D23" s="12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9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52"/>
    <col collapsed="false" customWidth="true" hidden="false" outlineLevel="0" max="4" min="4" style="0" width="16"/>
    <col collapsed="false" customWidth="true" hidden="false" outlineLevel="0" max="5" min="5" style="0" width="13"/>
    <col collapsed="false" customWidth="true" hidden="false" outlineLevel="0" max="7" min="6" style="0" width="9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20"/>
  </cols>
  <sheetData>
    <row r="1" customFormat="false" ht="15" hidden="false" customHeight="false" outlineLevel="0" collapsed="false">
      <c r="A1" s="1" t="s">
        <v>0</v>
      </c>
    </row>
    <row r="2" customFormat="false" ht="22.05" hidden="false" customHeight="false" outlineLevel="0" collapsed="false">
      <c r="A2" s="2" t="s">
        <v>115</v>
      </c>
    </row>
    <row r="3" customFormat="false" ht="15" hidden="false" customHeight="false" outlineLevel="0" collapsed="false">
      <c r="A3" s="3" t="s">
        <v>116</v>
      </c>
    </row>
    <row r="5" customFormat="false" ht="15" hidden="false" customHeight="false" outlineLevel="0" collapsed="false">
      <c r="A5" s="8" t="s">
        <v>117</v>
      </c>
      <c r="B5" s="8" t="s">
        <v>12</v>
      </c>
      <c r="C5" s="8" t="s">
        <v>118</v>
      </c>
      <c r="D5" s="8" t="s">
        <v>119</v>
      </c>
      <c r="E5" s="8" t="s">
        <v>15</v>
      </c>
      <c r="F5" s="8" t="s">
        <v>14</v>
      </c>
      <c r="G5" s="8" t="s">
        <v>120</v>
      </c>
      <c r="H5" s="8" t="s">
        <v>33</v>
      </c>
      <c r="I5" s="8" t="s">
        <v>21</v>
      </c>
      <c r="J5" s="8" t="s">
        <v>121</v>
      </c>
    </row>
    <row r="6" customFormat="false" ht="25.35" hidden="false" customHeight="false" outlineLevel="0" collapsed="false">
      <c r="A6" s="20" t="s">
        <v>122</v>
      </c>
      <c r="B6" s="10" t="s">
        <v>71</v>
      </c>
      <c r="C6" s="10" t="s">
        <v>123</v>
      </c>
      <c r="D6" s="10" t="s">
        <v>124</v>
      </c>
      <c r="E6" s="10" t="s">
        <v>16</v>
      </c>
      <c r="F6" s="21" t="n">
        <v>8</v>
      </c>
      <c r="G6" s="21" t="n">
        <v>1</v>
      </c>
      <c r="H6" s="10" t="s">
        <v>73</v>
      </c>
      <c r="I6" s="10" t="s">
        <v>22</v>
      </c>
      <c r="J6" s="10"/>
    </row>
    <row r="7" customFormat="false" ht="25.35" hidden="false" customHeight="false" outlineLevel="0" collapsed="false">
      <c r="A7" s="22" t="s">
        <v>125</v>
      </c>
      <c r="B7" s="12" t="s">
        <v>71</v>
      </c>
      <c r="C7" s="12" t="s">
        <v>126</v>
      </c>
      <c r="D7" s="12" t="s">
        <v>127</v>
      </c>
      <c r="E7" s="12" t="s">
        <v>16</v>
      </c>
      <c r="F7" s="23" t="n">
        <v>5</v>
      </c>
      <c r="G7" s="23" t="n">
        <v>1</v>
      </c>
      <c r="H7" s="12" t="s">
        <v>73</v>
      </c>
      <c r="I7" s="12" t="s">
        <v>22</v>
      </c>
      <c r="J7" s="12"/>
    </row>
    <row r="8" customFormat="false" ht="25.35" hidden="false" customHeight="false" outlineLevel="0" collapsed="false">
      <c r="A8" s="20" t="s">
        <v>128</v>
      </c>
      <c r="B8" s="10" t="s">
        <v>71</v>
      </c>
      <c r="C8" s="10" t="s">
        <v>129</v>
      </c>
      <c r="D8" s="10" t="s">
        <v>127</v>
      </c>
      <c r="E8" s="10" t="s">
        <v>16</v>
      </c>
      <c r="F8" s="21" t="n">
        <v>5</v>
      </c>
      <c r="G8" s="21" t="n">
        <v>1</v>
      </c>
      <c r="H8" s="10" t="s">
        <v>73</v>
      </c>
      <c r="I8" s="10" t="s">
        <v>22</v>
      </c>
      <c r="J8" s="10"/>
    </row>
    <row r="9" customFormat="false" ht="25.35" hidden="false" customHeight="false" outlineLevel="0" collapsed="false">
      <c r="A9" s="22" t="s">
        <v>130</v>
      </c>
      <c r="B9" s="12" t="s">
        <v>71</v>
      </c>
      <c r="C9" s="12" t="s">
        <v>131</v>
      </c>
      <c r="D9" s="12" t="s">
        <v>132</v>
      </c>
      <c r="E9" s="12" t="s">
        <v>16</v>
      </c>
      <c r="F9" s="23" t="n">
        <v>5</v>
      </c>
      <c r="G9" s="23" t="n">
        <v>2</v>
      </c>
      <c r="H9" s="12" t="s">
        <v>73</v>
      </c>
      <c r="I9" s="12" t="s">
        <v>22</v>
      </c>
      <c r="J9" s="12"/>
    </row>
    <row r="10" customFormat="false" ht="25.35" hidden="false" customHeight="false" outlineLevel="0" collapsed="false">
      <c r="A10" s="20" t="s">
        <v>133</v>
      </c>
      <c r="B10" s="10" t="s">
        <v>71</v>
      </c>
      <c r="C10" s="10" t="s">
        <v>134</v>
      </c>
      <c r="D10" s="10" t="s">
        <v>135</v>
      </c>
      <c r="E10" s="10" t="s">
        <v>17</v>
      </c>
      <c r="F10" s="21" t="n">
        <v>5</v>
      </c>
      <c r="G10" s="21" t="n">
        <v>2</v>
      </c>
      <c r="H10" s="10" t="s">
        <v>73</v>
      </c>
      <c r="I10" s="10" t="s">
        <v>22</v>
      </c>
      <c r="J10" s="10"/>
    </row>
    <row r="11" customFormat="false" ht="15" hidden="false" customHeight="false" outlineLevel="0" collapsed="false">
      <c r="A11" s="22" t="s">
        <v>136</v>
      </c>
      <c r="B11" s="12" t="s">
        <v>71</v>
      </c>
      <c r="C11" s="12" t="s">
        <v>137</v>
      </c>
      <c r="D11" s="12" t="s">
        <v>127</v>
      </c>
      <c r="E11" s="12" t="s">
        <v>16</v>
      </c>
      <c r="F11" s="23" t="n">
        <v>3</v>
      </c>
      <c r="G11" s="23" t="n">
        <v>2</v>
      </c>
      <c r="H11" s="12" t="s">
        <v>73</v>
      </c>
      <c r="I11" s="12" t="s">
        <v>22</v>
      </c>
      <c r="J11" s="12"/>
    </row>
    <row r="12" customFormat="false" ht="25.35" hidden="false" customHeight="false" outlineLevel="0" collapsed="false">
      <c r="A12" s="20" t="s">
        <v>138</v>
      </c>
      <c r="B12" s="10" t="s">
        <v>74</v>
      </c>
      <c r="C12" s="10" t="s">
        <v>139</v>
      </c>
      <c r="D12" s="10" t="s">
        <v>127</v>
      </c>
      <c r="E12" s="10" t="s">
        <v>16</v>
      </c>
      <c r="F12" s="21" t="n">
        <v>5</v>
      </c>
      <c r="G12" s="21" t="n">
        <v>3</v>
      </c>
      <c r="H12" s="10" t="s">
        <v>76</v>
      </c>
      <c r="I12" s="10" t="s">
        <v>22</v>
      </c>
      <c r="J12" s="10"/>
    </row>
    <row r="13" customFormat="false" ht="15" hidden="false" customHeight="false" outlineLevel="0" collapsed="false">
      <c r="A13" s="22" t="s">
        <v>140</v>
      </c>
      <c r="B13" s="12" t="s">
        <v>74</v>
      </c>
      <c r="C13" s="12" t="s">
        <v>141</v>
      </c>
      <c r="D13" s="12" t="s">
        <v>127</v>
      </c>
      <c r="E13" s="12" t="s">
        <v>16</v>
      </c>
      <c r="F13" s="23" t="n">
        <v>5</v>
      </c>
      <c r="G13" s="23" t="n">
        <v>3</v>
      </c>
      <c r="H13" s="12" t="s">
        <v>76</v>
      </c>
      <c r="I13" s="12" t="s">
        <v>22</v>
      </c>
      <c r="J13" s="12"/>
    </row>
    <row r="14" customFormat="false" ht="15" hidden="false" customHeight="false" outlineLevel="0" collapsed="false">
      <c r="A14" s="20" t="s">
        <v>142</v>
      </c>
      <c r="B14" s="10" t="s">
        <v>74</v>
      </c>
      <c r="C14" s="10" t="s">
        <v>143</v>
      </c>
      <c r="D14" s="10" t="s">
        <v>127</v>
      </c>
      <c r="E14" s="10" t="s">
        <v>16</v>
      </c>
      <c r="F14" s="21" t="n">
        <v>3</v>
      </c>
      <c r="G14" s="21" t="n">
        <v>3</v>
      </c>
      <c r="H14" s="10" t="s">
        <v>76</v>
      </c>
      <c r="I14" s="10" t="s">
        <v>22</v>
      </c>
      <c r="J14" s="10"/>
    </row>
    <row r="15" customFormat="false" ht="25.35" hidden="false" customHeight="false" outlineLevel="0" collapsed="false">
      <c r="A15" s="22" t="s">
        <v>144</v>
      </c>
      <c r="B15" s="12" t="s">
        <v>74</v>
      </c>
      <c r="C15" s="12" t="s">
        <v>145</v>
      </c>
      <c r="D15" s="12" t="s">
        <v>127</v>
      </c>
      <c r="E15" s="12" t="s">
        <v>17</v>
      </c>
      <c r="F15" s="23" t="n">
        <v>3</v>
      </c>
      <c r="G15" s="23" t="n">
        <v>4</v>
      </c>
      <c r="H15" s="12" t="s">
        <v>76</v>
      </c>
      <c r="I15" s="12" t="s">
        <v>22</v>
      </c>
      <c r="J15" s="12"/>
    </row>
    <row r="16" customFormat="false" ht="15" hidden="false" customHeight="false" outlineLevel="0" collapsed="false">
      <c r="A16" s="20" t="s">
        <v>146</v>
      </c>
      <c r="B16" s="10" t="s">
        <v>74</v>
      </c>
      <c r="C16" s="10" t="s">
        <v>147</v>
      </c>
      <c r="D16" s="10" t="s">
        <v>132</v>
      </c>
      <c r="E16" s="10" t="s">
        <v>16</v>
      </c>
      <c r="F16" s="21" t="n">
        <v>5</v>
      </c>
      <c r="G16" s="21" t="n">
        <v>4</v>
      </c>
      <c r="H16" s="10" t="s">
        <v>76</v>
      </c>
      <c r="I16" s="10" t="s">
        <v>22</v>
      </c>
      <c r="J16" s="10"/>
    </row>
    <row r="17" customFormat="false" ht="15" hidden="false" customHeight="false" outlineLevel="0" collapsed="false">
      <c r="A17" s="22" t="s">
        <v>148</v>
      </c>
      <c r="B17" s="12" t="s">
        <v>74</v>
      </c>
      <c r="C17" s="12" t="s">
        <v>149</v>
      </c>
      <c r="D17" s="12" t="s">
        <v>132</v>
      </c>
      <c r="E17" s="12" t="s">
        <v>16</v>
      </c>
      <c r="F17" s="23" t="n">
        <v>5</v>
      </c>
      <c r="G17" s="23" t="n">
        <v>4</v>
      </c>
      <c r="H17" s="12" t="s">
        <v>76</v>
      </c>
      <c r="I17" s="12" t="s">
        <v>22</v>
      </c>
      <c r="J17" s="12"/>
    </row>
    <row r="18" customFormat="false" ht="15" hidden="false" customHeight="false" outlineLevel="0" collapsed="false">
      <c r="A18" s="20" t="s">
        <v>150</v>
      </c>
      <c r="B18" s="10" t="s">
        <v>77</v>
      </c>
      <c r="C18" s="10" t="s">
        <v>151</v>
      </c>
      <c r="D18" s="10" t="s">
        <v>127</v>
      </c>
      <c r="E18" s="10" t="s">
        <v>16</v>
      </c>
      <c r="F18" s="21" t="n">
        <v>5</v>
      </c>
      <c r="G18" s="21" t="n">
        <v>5</v>
      </c>
      <c r="H18" s="10" t="s">
        <v>76</v>
      </c>
      <c r="I18" s="10" t="s">
        <v>22</v>
      </c>
      <c r="J18" s="10"/>
    </row>
    <row r="19" customFormat="false" ht="15" hidden="false" customHeight="false" outlineLevel="0" collapsed="false">
      <c r="A19" s="22" t="s">
        <v>152</v>
      </c>
      <c r="B19" s="12" t="s">
        <v>77</v>
      </c>
      <c r="C19" s="12" t="s">
        <v>153</v>
      </c>
      <c r="D19" s="12" t="s">
        <v>127</v>
      </c>
      <c r="E19" s="12" t="s">
        <v>16</v>
      </c>
      <c r="F19" s="23" t="n">
        <v>5</v>
      </c>
      <c r="G19" s="23" t="n">
        <v>5</v>
      </c>
      <c r="H19" s="12" t="s">
        <v>76</v>
      </c>
      <c r="I19" s="12" t="s">
        <v>22</v>
      </c>
      <c r="J19" s="12"/>
    </row>
    <row r="20" customFormat="false" ht="15" hidden="false" customHeight="false" outlineLevel="0" collapsed="false">
      <c r="A20" s="20" t="s">
        <v>154</v>
      </c>
      <c r="B20" s="10" t="s">
        <v>77</v>
      </c>
      <c r="C20" s="10" t="s">
        <v>155</v>
      </c>
      <c r="D20" s="10" t="s">
        <v>156</v>
      </c>
      <c r="E20" s="10" t="s">
        <v>17</v>
      </c>
      <c r="F20" s="21" t="n">
        <v>3</v>
      </c>
      <c r="G20" s="21" t="n">
        <v>5</v>
      </c>
      <c r="H20" s="10" t="s">
        <v>76</v>
      </c>
      <c r="I20" s="10" t="s">
        <v>22</v>
      </c>
      <c r="J20" s="10"/>
    </row>
    <row r="21" customFormat="false" ht="15" hidden="false" customHeight="false" outlineLevel="0" collapsed="false">
      <c r="A21" s="22" t="s">
        <v>157</v>
      </c>
      <c r="B21" s="12" t="s">
        <v>77</v>
      </c>
      <c r="C21" s="12" t="s">
        <v>158</v>
      </c>
      <c r="D21" s="12" t="s">
        <v>127</v>
      </c>
      <c r="E21" s="12" t="s">
        <v>16</v>
      </c>
      <c r="F21" s="23" t="n">
        <v>5</v>
      </c>
      <c r="G21" s="23" t="n">
        <v>6</v>
      </c>
      <c r="H21" s="12" t="s">
        <v>76</v>
      </c>
      <c r="I21" s="12" t="s">
        <v>22</v>
      </c>
      <c r="J21" s="12"/>
    </row>
    <row r="22" customFormat="false" ht="15" hidden="false" customHeight="false" outlineLevel="0" collapsed="false">
      <c r="A22" s="20" t="s">
        <v>159</v>
      </c>
      <c r="B22" s="10" t="s">
        <v>77</v>
      </c>
      <c r="C22" s="10" t="s">
        <v>160</v>
      </c>
      <c r="D22" s="10" t="s">
        <v>127</v>
      </c>
      <c r="E22" s="10" t="s">
        <v>16</v>
      </c>
      <c r="F22" s="21" t="n">
        <v>5</v>
      </c>
      <c r="G22" s="21" t="n">
        <v>6</v>
      </c>
      <c r="H22" s="10" t="s">
        <v>76</v>
      </c>
      <c r="I22" s="10" t="s">
        <v>22</v>
      </c>
      <c r="J22" s="10"/>
    </row>
    <row r="23" customFormat="false" ht="15" hidden="false" customHeight="false" outlineLevel="0" collapsed="false">
      <c r="A23" s="22" t="s">
        <v>161</v>
      </c>
      <c r="B23" s="12" t="s">
        <v>77</v>
      </c>
      <c r="C23" s="12" t="s">
        <v>162</v>
      </c>
      <c r="D23" s="12" t="s">
        <v>132</v>
      </c>
      <c r="E23" s="12" t="s">
        <v>16</v>
      </c>
      <c r="F23" s="23" t="n">
        <v>3</v>
      </c>
      <c r="G23" s="23" t="n">
        <v>6</v>
      </c>
      <c r="H23" s="12" t="s">
        <v>76</v>
      </c>
      <c r="I23" s="12" t="s">
        <v>22</v>
      </c>
      <c r="J23" s="12"/>
    </row>
    <row r="24" customFormat="false" ht="25.35" hidden="false" customHeight="false" outlineLevel="0" collapsed="false">
      <c r="A24" s="20" t="s">
        <v>163</v>
      </c>
      <c r="B24" s="10" t="s">
        <v>90</v>
      </c>
      <c r="C24" s="10" t="s">
        <v>164</v>
      </c>
      <c r="D24" s="10" t="s">
        <v>165</v>
      </c>
      <c r="E24" s="10" t="s">
        <v>16</v>
      </c>
      <c r="F24" s="21" t="n">
        <v>8</v>
      </c>
      <c r="G24" s="21" t="n">
        <v>6</v>
      </c>
      <c r="H24" s="10" t="s">
        <v>92</v>
      </c>
      <c r="I24" s="10" t="s">
        <v>22</v>
      </c>
      <c r="J24" s="10"/>
    </row>
    <row r="25" customFormat="false" ht="25.35" hidden="false" customHeight="false" outlineLevel="0" collapsed="false">
      <c r="A25" s="22" t="s">
        <v>166</v>
      </c>
      <c r="B25" s="12" t="s">
        <v>90</v>
      </c>
      <c r="C25" s="12" t="s">
        <v>167</v>
      </c>
      <c r="D25" s="12" t="s">
        <v>165</v>
      </c>
      <c r="E25" s="12" t="s">
        <v>16</v>
      </c>
      <c r="F25" s="23" t="n">
        <v>8</v>
      </c>
      <c r="G25" s="23" t="n">
        <v>7</v>
      </c>
      <c r="H25" s="12" t="s">
        <v>92</v>
      </c>
      <c r="I25" s="12" t="s">
        <v>22</v>
      </c>
      <c r="J25" s="12"/>
    </row>
    <row r="26" customFormat="false" ht="25.35" hidden="false" customHeight="false" outlineLevel="0" collapsed="false">
      <c r="A26" s="20" t="s">
        <v>168</v>
      </c>
      <c r="B26" s="10" t="s">
        <v>90</v>
      </c>
      <c r="C26" s="10" t="s">
        <v>169</v>
      </c>
      <c r="D26" s="10" t="s">
        <v>165</v>
      </c>
      <c r="E26" s="10" t="s">
        <v>16</v>
      </c>
      <c r="F26" s="21" t="n">
        <v>8</v>
      </c>
      <c r="G26" s="21" t="n">
        <v>7</v>
      </c>
      <c r="H26" s="10" t="s">
        <v>92</v>
      </c>
      <c r="I26" s="10" t="s">
        <v>22</v>
      </c>
      <c r="J26" s="10"/>
    </row>
    <row r="27" customFormat="false" ht="25.35" hidden="false" customHeight="false" outlineLevel="0" collapsed="false">
      <c r="A27" s="22" t="s">
        <v>170</v>
      </c>
      <c r="B27" s="12" t="s">
        <v>90</v>
      </c>
      <c r="C27" s="12" t="s">
        <v>171</v>
      </c>
      <c r="D27" s="12" t="s">
        <v>172</v>
      </c>
      <c r="E27" s="12" t="s">
        <v>17</v>
      </c>
      <c r="F27" s="23" t="n">
        <v>5</v>
      </c>
      <c r="G27" s="23" t="n">
        <v>8</v>
      </c>
      <c r="H27" s="12" t="s">
        <v>92</v>
      </c>
      <c r="I27" s="12" t="s">
        <v>22</v>
      </c>
      <c r="J27" s="12"/>
    </row>
    <row r="28" customFormat="false" ht="25.35" hidden="false" customHeight="false" outlineLevel="0" collapsed="false">
      <c r="A28" s="20" t="s">
        <v>173</v>
      </c>
      <c r="B28" s="10" t="s">
        <v>90</v>
      </c>
      <c r="C28" s="10" t="s">
        <v>174</v>
      </c>
      <c r="D28" s="10" t="s">
        <v>156</v>
      </c>
      <c r="E28" s="10" t="s">
        <v>17</v>
      </c>
      <c r="F28" s="21" t="n">
        <v>5</v>
      </c>
      <c r="G28" s="21" t="n">
        <v>8</v>
      </c>
      <c r="H28" s="10" t="s">
        <v>92</v>
      </c>
      <c r="I28" s="10" t="s">
        <v>22</v>
      </c>
      <c r="J28" s="10"/>
    </row>
    <row r="29" customFormat="false" ht="15" hidden="false" customHeight="false" outlineLevel="0" collapsed="false">
      <c r="A29" s="22" t="s">
        <v>175</v>
      </c>
      <c r="B29" s="12" t="s">
        <v>96</v>
      </c>
      <c r="C29" s="12" t="s">
        <v>176</v>
      </c>
      <c r="D29" s="12" t="s">
        <v>124</v>
      </c>
      <c r="E29" s="12" t="s">
        <v>17</v>
      </c>
      <c r="F29" s="23" t="n">
        <v>5</v>
      </c>
      <c r="G29" s="23" t="n">
        <v>8</v>
      </c>
      <c r="H29" s="12" t="s">
        <v>92</v>
      </c>
      <c r="I29" s="12" t="s">
        <v>22</v>
      </c>
      <c r="J29" s="12"/>
    </row>
    <row r="30" customFormat="false" ht="15" hidden="false" customHeight="false" outlineLevel="0" collapsed="false">
      <c r="A30" s="20" t="s">
        <v>177</v>
      </c>
      <c r="B30" s="10" t="s">
        <v>96</v>
      </c>
      <c r="C30" s="10" t="s">
        <v>178</v>
      </c>
      <c r="D30" s="10" t="s">
        <v>124</v>
      </c>
      <c r="E30" s="10" t="s">
        <v>17</v>
      </c>
      <c r="F30" s="21" t="n">
        <v>5</v>
      </c>
      <c r="G30" s="21" t="n">
        <v>9</v>
      </c>
      <c r="H30" s="10" t="s">
        <v>92</v>
      </c>
      <c r="I30" s="10" t="s">
        <v>22</v>
      </c>
      <c r="J30" s="10"/>
    </row>
    <row r="31" customFormat="false" ht="15" hidden="false" customHeight="false" outlineLevel="0" collapsed="false">
      <c r="A31" s="22" t="s">
        <v>179</v>
      </c>
      <c r="B31" s="12" t="s">
        <v>96</v>
      </c>
      <c r="C31" s="12" t="s">
        <v>180</v>
      </c>
      <c r="D31" s="12" t="s">
        <v>127</v>
      </c>
      <c r="E31" s="12" t="s">
        <v>17</v>
      </c>
      <c r="F31" s="23" t="n">
        <v>5</v>
      </c>
      <c r="G31" s="23" t="n">
        <v>9</v>
      </c>
      <c r="H31" s="12" t="s">
        <v>92</v>
      </c>
      <c r="I31" s="12" t="s">
        <v>22</v>
      </c>
      <c r="J31" s="12"/>
    </row>
    <row r="32" customFormat="false" ht="15" hidden="false" customHeight="false" outlineLevel="0" collapsed="false">
      <c r="A32" s="20" t="s">
        <v>181</v>
      </c>
      <c r="B32" s="10" t="s">
        <v>96</v>
      </c>
      <c r="C32" s="10" t="s">
        <v>182</v>
      </c>
      <c r="D32" s="10" t="s">
        <v>124</v>
      </c>
      <c r="E32" s="10" t="s">
        <v>17</v>
      </c>
      <c r="F32" s="21" t="n">
        <v>3</v>
      </c>
      <c r="G32" s="21" t="n">
        <v>9</v>
      </c>
      <c r="H32" s="10" t="s">
        <v>92</v>
      </c>
      <c r="I32" s="10" t="s">
        <v>22</v>
      </c>
      <c r="J32" s="10"/>
    </row>
    <row r="33" customFormat="false" ht="25.35" hidden="false" customHeight="false" outlineLevel="0" collapsed="false">
      <c r="A33" s="22" t="s">
        <v>183</v>
      </c>
      <c r="B33" s="12" t="s">
        <v>90</v>
      </c>
      <c r="C33" s="12" t="s">
        <v>184</v>
      </c>
      <c r="D33" s="12" t="s">
        <v>124</v>
      </c>
      <c r="E33" s="12" t="s">
        <v>17</v>
      </c>
      <c r="F33" s="23" t="n">
        <v>5</v>
      </c>
      <c r="G33" s="23" t="n">
        <v>10</v>
      </c>
      <c r="H33" s="12" t="s">
        <v>92</v>
      </c>
      <c r="I33" s="12" t="s">
        <v>22</v>
      </c>
      <c r="J33" s="12"/>
    </row>
    <row r="34" customFormat="false" ht="25.35" hidden="false" customHeight="false" outlineLevel="0" collapsed="false">
      <c r="A34" s="20" t="s">
        <v>185</v>
      </c>
      <c r="B34" s="10" t="s">
        <v>90</v>
      </c>
      <c r="C34" s="10" t="s">
        <v>186</v>
      </c>
      <c r="D34" s="10" t="s">
        <v>124</v>
      </c>
      <c r="E34" s="10" t="s">
        <v>18</v>
      </c>
      <c r="F34" s="21" t="n">
        <v>3</v>
      </c>
      <c r="G34" s="21" t="n">
        <v>10</v>
      </c>
      <c r="H34" s="10" t="s">
        <v>92</v>
      </c>
      <c r="I34" s="10" t="s">
        <v>22</v>
      </c>
      <c r="J34" s="10"/>
    </row>
    <row r="35" customFormat="false" ht="25.35" hidden="false" customHeight="false" outlineLevel="0" collapsed="false">
      <c r="A35" s="22" t="s">
        <v>187</v>
      </c>
      <c r="B35" s="12" t="s">
        <v>79</v>
      </c>
      <c r="C35" s="12" t="s">
        <v>188</v>
      </c>
      <c r="D35" s="12" t="s">
        <v>127</v>
      </c>
      <c r="E35" s="12" t="s">
        <v>16</v>
      </c>
      <c r="F35" s="23" t="n">
        <v>8</v>
      </c>
      <c r="G35" s="23" t="n">
        <v>10</v>
      </c>
      <c r="H35" s="12" t="s">
        <v>81</v>
      </c>
      <c r="I35" s="12" t="s">
        <v>22</v>
      </c>
      <c r="J35" s="12"/>
    </row>
    <row r="36" customFormat="false" ht="15" hidden="false" customHeight="false" outlineLevel="0" collapsed="false">
      <c r="A36" s="20" t="s">
        <v>189</v>
      </c>
      <c r="B36" s="10" t="s">
        <v>79</v>
      </c>
      <c r="C36" s="10" t="s">
        <v>190</v>
      </c>
      <c r="D36" s="10" t="s">
        <v>127</v>
      </c>
      <c r="E36" s="10" t="s">
        <v>16</v>
      </c>
      <c r="F36" s="21" t="n">
        <v>8</v>
      </c>
      <c r="G36" s="21" t="n">
        <v>11</v>
      </c>
      <c r="H36" s="10" t="s">
        <v>81</v>
      </c>
      <c r="I36" s="10" t="s">
        <v>22</v>
      </c>
      <c r="J36" s="10"/>
    </row>
    <row r="37" customFormat="false" ht="15" hidden="false" customHeight="false" outlineLevel="0" collapsed="false">
      <c r="A37" s="22" t="s">
        <v>191</v>
      </c>
      <c r="B37" s="12" t="s">
        <v>79</v>
      </c>
      <c r="C37" s="12" t="s">
        <v>192</v>
      </c>
      <c r="D37" s="12" t="s">
        <v>127</v>
      </c>
      <c r="E37" s="12" t="s">
        <v>16</v>
      </c>
      <c r="F37" s="23" t="n">
        <v>8</v>
      </c>
      <c r="G37" s="23" t="n">
        <v>11</v>
      </c>
      <c r="H37" s="12" t="s">
        <v>81</v>
      </c>
      <c r="I37" s="12" t="s">
        <v>22</v>
      </c>
      <c r="J37" s="12"/>
    </row>
    <row r="38" customFormat="false" ht="15" hidden="false" customHeight="false" outlineLevel="0" collapsed="false">
      <c r="A38" s="20" t="s">
        <v>193</v>
      </c>
      <c r="B38" s="10" t="s">
        <v>79</v>
      </c>
      <c r="C38" s="10" t="s">
        <v>194</v>
      </c>
      <c r="D38" s="10" t="s">
        <v>127</v>
      </c>
      <c r="E38" s="10" t="s">
        <v>17</v>
      </c>
      <c r="F38" s="21" t="n">
        <v>5</v>
      </c>
      <c r="G38" s="21" t="n">
        <v>12</v>
      </c>
      <c r="H38" s="10" t="s">
        <v>81</v>
      </c>
      <c r="I38" s="10" t="s">
        <v>22</v>
      </c>
      <c r="J38" s="10"/>
    </row>
    <row r="39" customFormat="false" ht="25.35" hidden="false" customHeight="false" outlineLevel="0" collapsed="false">
      <c r="A39" s="22" t="s">
        <v>195</v>
      </c>
      <c r="B39" s="12" t="s">
        <v>82</v>
      </c>
      <c r="C39" s="12" t="s">
        <v>196</v>
      </c>
      <c r="D39" s="12" t="s">
        <v>127</v>
      </c>
      <c r="E39" s="12" t="s">
        <v>16</v>
      </c>
      <c r="F39" s="23" t="n">
        <v>5</v>
      </c>
      <c r="G39" s="23" t="n">
        <v>10</v>
      </c>
      <c r="H39" s="12" t="s">
        <v>81</v>
      </c>
      <c r="I39" s="12" t="s">
        <v>22</v>
      </c>
      <c r="J39" s="12"/>
    </row>
    <row r="40" customFormat="false" ht="15" hidden="false" customHeight="false" outlineLevel="0" collapsed="false">
      <c r="A40" s="20" t="s">
        <v>197</v>
      </c>
      <c r="B40" s="10" t="s">
        <v>82</v>
      </c>
      <c r="C40" s="10" t="s">
        <v>198</v>
      </c>
      <c r="D40" s="10" t="s">
        <v>127</v>
      </c>
      <c r="E40" s="10" t="s">
        <v>16</v>
      </c>
      <c r="F40" s="21" t="n">
        <v>8</v>
      </c>
      <c r="G40" s="21" t="n">
        <v>11</v>
      </c>
      <c r="H40" s="10" t="s">
        <v>81</v>
      </c>
      <c r="I40" s="10" t="s">
        <v>22</v>
      </c>
      <c r="J40" s="10"/>
    </row>
    <row r="41" customFormat="false" ht="25.35" hidden="false" customHeight="false" outlineLevel="0" collapsed="false">
      <c r="A41" s="22" t="s">
        <v>199</v>
      </c>
      <c r="B41" s="12" t="s">
        <v>82</v>
      </c>
      <c r="C41" s="12" t="s">
        <v>200</v>
      </c>
      <c r="D41" s="12" t="s">
        <v>127</v>
      </c>
      <c r="E41" s="12" t="s">
        <v>17</v>
      </c>
      <c r="F41" s="23" t="n">
        <v>5</v>
      </c>
      <c r="G41" s="23" t="n">
        <v>12</v>
      </c>
      <c r="H41" s="12" t="s">
        <v>81</v>
      </c>
      <c r="I41" s="12" t="s">
        <v>22</v>
      </c>
      <c r="J41" s="12"/>
    </row>
    <row r="42" customFormat="false" ht="15" hidden="false" customHeight="false" outlineLevel="0" collapsed="false">
      <c r="A42" s="20" t="s">
        <v>201</v>
      </c>
      <c r="B42" s="10" t="s">
        <v>84</v>
      </c>
      <c r="C42" s="10" t="s">
        <v>202</v>
      </c>
      <c r="D42" s="10" t="s">
        <v>127</v>
      </c>
      <c r="E42" s="10" t="s">
        <v>16</v>
      </c>
      <c r="F42" s="21" t="n">
        <v>8</v>
      </c>
      <c r="G42" s="21" t="n">
        <v>12</v>
      </c>
      <c r="H42" s="10" t="s">
        <v>81</v>
      </c>
      <c r="I42" s="10" t="s">
        <v>22</v>
      </c>
      <c r="J42" s="10"/>
    </row>
    <row r="43" customFormat="false" ht="15" hidden="false" customHeight="false" outlineLevel="0" collapsed="false">
      <c r="A43" s="22" t="s">
        <v>203</v>
      </c>
      <c r="B43" s="12" t="s">
        <v>84</v>
      </c>
      <c r="C43" s="12" t="s">
        <v>204</v>
      </c>
      <c r="D43" s="12" t="s">
        <v>127</v>
      </c>
      <c r="E43" s="12" t="s">
        <v>17</v>
      </c>
      <c r="F43" s="23" t="n">
        <v>5</v>
      </c>
      <c r="G43" s="23" t="n">
        <v>12</v>
      </c>
      <c r="H43" s="12" t="s">
        <v>81</v>
      </c>
      <c r="I43" s="12" t="s">
        <v>22</v>
      </c>
      <c r="J43" s="12"/>
    </row>
    <row r="44" customFormat="false" ht="15" hidden="false" customHeight="false" outlineLevel="0" collapsed="false">
      <c r="A44" s="20" t="s">
        <v>205</v>
      </c>
      <c r="B44" s="10" t="s">
        <v>84</v>
      </c>
      <c r="C44" s="10" t="s">
        <v>206</v>
      </c>
      <c r="D44" s="10" t="s">
        <v>124</v>
      </c>
      <c r="E44" s="10" t="s">
        <v>16</v>
      </c>
      <c r="F44" s="21" t="n">
        <v>5</v>
      </c>
      <c r="G44" s="21" t="n">
        <v>13</v>
      </c>
      <c r="H44" s="10" t="s">
        <v>81</v>
      </c>
      <c r="I44" s="10" t="s">
        <v>22</v>
      </c>
      <c r="J44" s="10"/>
    </row>
    <row r="45" customFormat="false" ht="15" hidden="false" customHeight="false" outlineLevel="0" collapsed="false">
      <c r="A45" s="22" t="s">
        <v>207</v>
      </c>
      <c r="B45" s="12" t="s">
        <v>84</v>
      </c>
      <c r="C45" s="12" t="s">
        <v>208</v>
      </c>
      <c r="D45" s="12" t="s">
        <v>124</v>
      </c>
      <c r="E45" s="12" t="s">
        <v>17</v>
      </c>
      <c r="F45" s="23" t="n">
        <v>5</v>
      </c>
      <c r="G45" s="23" t="n">
        <v>13</v>
      </c>
      <c r="H45" s="12" t="s">
        <v>81</v>
      </c>
      <c r="I45" s="12" t="s">
        <v>22</v>
      </c>
      <c r="J45" s="12"/>
    </row>
    <row r="46" customFormat="false" ht="15" hidden="false" customHeight="false" outlineLevel="0" collapsed="false">
      <c r="A46" s="20" t="s">
        <v>209</v>
      </c>
      <c r="B46" s="10" t="s">
        <v>84</v>
      </c>
      <c r="C46" s="10" t="s">
        <v>210</v>
      </c>
      <c r="D46" s="10" t="s">
        <v>124</v>
      </c>
      <c r="E46" s="10" t="s">
        <v>18</v>
      </c>
      <c r="F46" s="21" t="n">
        <v>3</v>
      </c>
      <c r="G46" s="21" t="n">
        <v>13</v>
      </c>
      <c r="H46" s="10" t="s">
        <v>81</v>
      </c>
      <c r="I46" s="10" t="s">
        <v>22</v>
      </c>
      <c r="J46" s="10"/>
    </row>
    <row r="47" customFormat="false" ht="15" hidden="false" customHeight="false" outlineLevel="0" collapsed="false">
      <c r="A47" s="22" t="s">
        <v>211</v>
      </c>
      <c r="B47" s="12" t="s">
        <v>86</v>
      </c>
      <c r="C47" s="12" t="s">
        <v>212</v>
      </c>
      <c r="D47" s="12" t="s">
        <v>124</v>
      </c>
      <c r="E47" s="12" t="s">
        <v>17</v>
      </c>
      <c r="F47" s="23" t="n">
        <v>5</v>
      </c>
      <c r="G47" s="23" t="n">
        <v>13</v>
      </c>
      <c r="H47" s="12" t="s">
        <v>81</v>
      </c>
      <c r="I47" s="12" t="s">
        <v>22</v>
      </c>
      <c r="J47" s="12"/>
    </row>
    <row r="48" customFormat="false" ht="15" hidden="false" customHeight="false" outlineLevel="0" collapsed="false">
      <c r="A48" s="20" t="s">
        <v>213</v>
      </c>
      <c r="B48" s="10" t="s">
        <v>86</v>
      </c>
      <c r="C48" s="10" t="s">
        <v>214</v>
      </c>
      <c r="D48" s="10" t="s">
        <v>124</v>
      </c>
      <c r="E48" s="10" t="s">
        <v>17</v>
      </c>
      <c r="F48" s="21" t="n">
        <v>8</v>
      </c>
      <c r="G48" s="21" t="n">
        <v>14</v>
      </c>
      <c r="H48" s="10" t="s">
        <v>81</v>
      </c>
      <c r="I48" s="10" t="s">
        <v>22</v>
      </c>
      <c r="J48" s="10"/>
    </row>
    <row r="49" customFormat="false" ht="15" hidden="false" customHeight="false" outlineLevel="0" collapsed="false">
      <c r="A49" s="22" t="s">
        <v>215</v>
      </c>
      <c r="B49" s="12" t="s">
        <v>86</v>
      </c>
      <c r="C49" s="12" t="s">
        <v>216</v>
      </c>
      <c r="D49" s="12" t="s">
        <v>127</v>
      </c>
      <c r="E49" s="12" t="s">
        <v>17</v>
      </c>
      <c r="F49" s="23" t="n">
        <v>8</v>
      </c>
      <c r="G49" s="23" t="n">
        <v>14</v>
      </c>
      <c r="H49" s="12" t="s">
        <v>81</v>
      </c>
      <c r="I49" s="12" t="s">
        <v>22</v>
      </c>
      <c r="J49" s="12"/>
    </row>
    <row r="50" customFormat="false" ht="15" hidden="false" customHeight="false" outlineLevel="0" collapsed="false">
      <c r="A50" s="20" t="s">
        <v>217</v>
      </c>
      <c r="B50" s="10" t="s">
        <v>86</v>
      </c>
      <c r="C50" s="10" t="s">
        <v>218</v>
      </c>
      <c r="D50" s="10" t="s">
        <v>124</v>
      </c>
      <c r="E50" s="10" t="s">
        <v>18</v>
      </c>
      <c r="F50" s="21" t="n">
        <v>3</v>
      </c>
      <c r="G50" s="21" t="n">
        <v>14</v>
      </c>
      <c r="H50" s="10" t="s">
        <v>81</v>
      </c>
      <c r="I50" s="10" t="s">
        <v>22</v>
      </c>
      <c r="J50" s="10"/>
    </row>
    <row r="51" customFormat="false" ht="15" hidden="false" customHeight="false" outlineLevel="0" collapsed="false">
      <c r="A51" s="22" t="s">
        <v>219</v>
      </c>
      <c r="B51" s="12" t="s">
        <v>88</v>
      </c>
      <c r="C51" s="12" t="s">
        <v>220</v>
      </c>
      <c r="D51" s="12" t="s">
        <v>124</v>
      </c>
      <c r="E51" s="12" t="s">
        <v>17</v>
      </c>
      <c r="F51" s="23" t="n">
        <v>5</v>
      </c>
      <c r="G51" s="23" t="n">
        <v>13</v>
      </c>
      <c r="H51" s="12" t="s">
        <v>81</v>
      </c>
      <c r="I51" s="12" t="s">
        <v>22</v>
      </c>
      <c r="J51" s="12"/>
    </row>
    <row r="52" customFormat="false" ht="15" hidden="false" customHeight="false" outlineLevel="0" collapsed="false">
      <c r="A52" s="20" t="s">
        <v>221</v>
      </c>
      <c r="B52" s="10" t="s">
        <v>88</v>
      </c>
      <c r="C52" s="10" t="s">
        <v>222</v>
      </c>
      <c r="D52" s="10" t="s">
        <v>124</v>
      </c>
      <c r="E52" s="10" t="s">
        <v>17</v>
      </c>
      <c r="F52" s="21" t="n">
        <v>8</v>
      </c>
      <c r="G52" s="21" t="n">
        <v>14</v>
      </c>
      <c r="H52" s="10" t="s">
        <v>81</v>
      </c>
      <c r="I52" s="10" t="s">
        <v>22</v>
      </c>
      <c r="J52" s="10"/>
    </row>
    <row r="53" customFormat="false" ht="15" hidden="false" customHeight="false" outlineLevel="0" collapsed="false">
      <c r="A53" s="22" t="s">
        <v>223</v>
      </c>
      <c r="B53" s="12" t="s">
        <v>88</v>
      </c>
      <c r="C53" s="12" t="s">
        <v>224</v>
      </c>
      <c r="D53" s="12" t="s">
        <v>124</v>
      </c>
      <c r="E53" s="12" t="s">
        <v>18</v>
      </c>
      <c r="F53" s="23" t="n">
        <v>5</v>
      </c>
      <c r="G53" s="23" t="n">
        <v>14</v>
      </c>
      <c r="H53" s="12" t="s">
        <v>81</v>
      </c>
      <c r="I53" s="12" t="s">
        <v>22</v>
      </c>
      <c r="J53" s="12"/>
    </row>
    <row r="54" customFormat="false" ht="25.35" hidden="false" customHeight="false" outlineLevel="0" collapsed="false">
      <c r="A54" s="20" t="s">
        <v>225</v>
      </c>
      <c r="B54" s="10" t="s">
        <v>93</v>
      </c>
      <c r="C54" s="10" t="s">
        <v>226</v>
      </c>
      <c r="D54" s="10" t="s">
        <v>227</v>
      </c>
      <c r="E54" s="10" t="s">
        <v>16</v>
      </c>
      <c r="F54" s="21" t="n">
        <v>8</v>
      </c>
      <c r="G54" s="21" t="n">
        <v>14</v>
      </c>
      <c r="H54" s="10" t="s">
        <v>95</v>
      </c>
      <c r="I54" s="10" t="s">
        <v>22</v>
      </c>
      <c r="J54" s="10"/>
    </row>
    <row r="55" customFormat="false" ht="25.35" hidden="false" customHeight="false" outlineLevel="0" collapsed="false">
      <c r="A55" s="22" t="s">
        <v>228</v>
      </c>
      <c r="B55" s="12" t="s">
        <v>93</v>
      </c>
      <c r="C55" s="12" t="s">
        <v>229</v>
      </c>
      <c r="D55" s="12" t="s">
        <v>227</v>
      </c>
      <c r="E55" s="12" t="s">
        <v>16</v>
      </c>
      <c r="F55" s="23" t="n">
        <v>13</v>
      </c>
      <c r="G55" s="23" t="n">
        <v>15</v>
      </c>
      <c r="H55" s="12" t="s">
        <v>95</v>
      </c>
      <c r="I55" s="12" t="s">
        <v>22</v>
      </c>
      <c r="J55" s="12"/>
    </row>
    <row r="56" customFormat="false" ht="25.35" hidden="false" customHeight="false" outlineLevel="0" collapsed="false">
      <c r="A56" s="20" t="s">
        <v>230</v>
      </c>
      <c r="B56" s="10" t="s">
        <v>93</v>
      </c>
      <c r="C56" s="10" t="s">
        <v>231</v>
      </c>
      <c r="D56" s="10" t="s">
        <v>227</v>
      </c>
      <c r="E56" s="10" t="s">
        <v>17</v>
      </c>
      <c r="F56" s="21" t="n">
        <v>5</v>
      </c>
      <c r="G56" s="21" t="n">
        <v>15</v>
      </c>
      <c r="H56" s="10" t="s">
        <v>95</v>
      </c>
      <c r="I56" s="10" t="s">
        <v>22</v>
      </c>
      <c r="J56" s="10"/>
    </row>
    <row r="57" customFormat="false" ht="25.35" hidden="false" customHeight="false" outlineLevel="0" collapsed="false">
      <c r="A57" s="22" t="s">
        <v>232</v>
      </c>
      <c r="B57" s="12" t="s">
        <v>93</v>
      </c>
      <c r="C57" s="12" t="s">
        <v>233</v>
      </c>
      <c r="D57" s="12" t="s">
        <v>227</v>
      </c>
      <c r="E57" s="12" t="s">
        <v>17</v>
      </c>
      <c r="F57" s="23" t="n">
        <v>5</v>
      </c>
      <c r="G57" s="23" t="n">
        <v>16</v>
      </c>
      <c r="H57" s="12" t="s">
        <v>95</v>
      </c>
      <c r="I57" s="12" t="s">
        <v>22</v>
      </c>
      <c r="J57" s="12"/>
    </row>
    <row r="58" customFormat="false" ht="25.35" hidden="false" customHeight="false" outlineLevel="0" collapsed="false">
      <c r="A58" s="20" t="s">
        <v>234</v>
      </c>
      <c r="B58" s="10" t="s">
        <v>98</v>
      </c>
      <c r="C58" s="10" t="s">
        <v>235</v>
      </c>
      <c r="D58" s="10" t="s">
        <v>127</v>
      </c>
      <c r="E58" s="10" t="s">
        <v>17</v>
      </c>
      <c r="F58" s="21" t="n">
        <v>13</v>
      </c>
      <c r="G58" s="21" t="n">
        <v>15</v>
      </c>
      <c r="H58" s="10" t="s">
        <v>95</v>
      </c>
      <c r="I58" s="10" t="s">
        <v>22</v>
      </c>
      <c r="J58" s="10"/>
    </row>
    <row r="59" customFormat="false" ht="15" hidden="false" customHeight="false" outlineLevel="0" collapsed="false">
      <c r="A59" s="22" t="s">
        <v>236</v>
      </c>
      <c r="B59" s="12" t="s">
        <v>98</v>
      </c>
      <c r="C59" s="12" t="s">
        <v>237</v>
      </c>
      <c r="D59" s="12" t="s">
        <v>127</v>
      </c>
      <c r="E59" s="12" t="s">
        <v>17</v>
      </c>
      <c r="F59" s="23" t="n">
        <v>8</v>
      </c>
      <c r="G59" s="23" t="n">
        <v>16</v>
      </c>
      <c r="H59" s="12" t="s">
        <v>95</v>
      </c>
      <c r="I59" s="12" t="s">
        <v>22</v>
      </c>
      <c r="J59" s="12"/>
    </row>
    <row r="60" customFormat="false" ht="15" hidden="false" customHeight="false" outlineLevel="0" collapsed="false">
      <c r="A60" s="20" t="s">
        <v>238</v>
      </c>
      <c r="B60" s="10" t="s">
        <v>98</v>
      </c>
      <c r="C60" s="10" t="s">
        <v>239</v>
      </c>
      <c r="D60" s="10" t="s">
        <v>124</v>
      </c>
      <c r="E60" s="10" t="s">
        <v>18</v>
      </c>
      <c r="F60" s="21" t="n">
        <v>5</v>
      </c>
      <c r="G60" s="21" t="n">
        <v>16</v>
      </c>
      <c r="H60" s="10" t="s">
        <v>95</v>
      </c>
      <c r="I60" s="10" t="s">
        <v>22</v>
      </c>
      <c r="J60" s="10"/>
    </row>
    <row r="61" customFormat="false" ht="15" hidden="false" customHeight="false" outlineLevel="0" collapsed="false">
      <c r="A61" s="22" t="s">
        <v>240</v>
      </c>
      <c r="B61" s="12" t="s">
        <v>98</v>
      </c>
      <c r="C61" s="12" t="s">
        <v>241</v>
      </c>
      <c r="D61" s="12" t="s">
        <v>127</v>
      </c>
      <c r="E61" s="12" t="s">
        <v>18</v>
      </c>
      <c r="F61" s="23" t="n">
        <v>8</v>
      </c>
      <c r="G61" s="23" t="n">
        <v>17</v>
      </c>
      <c r="H61" s="12" t="s">
        <v>95</v>
      </c>
      <c r="I61" s="12" t="s">
        <v>22</v>
      </c>
      <c r="J61" s="12"/>
    </row>
    <row r="62" customFormat="false" ht="15" hidden="false" customHeight="false" outlineLevel="0" collapsed="false">
      <c r="A62" s="20" t="s">
        <v>242</v>
      </c>
      <c r="B62" s="10" t="s">
        <v>98</v>
      </c>
      <c r="C62" s="10" t="s">
        <v>243</v>
      </c>
      <c r="D62" s="10" t="s">
        <v>127</v>
      </c>
      <c r="E62" s="10" t="s">
        <v>18</v>
      </c>
      <c r="F62" s="21" t="n">
        <v>5</v>
      </c>
      <c r="G62" s="21" t="n">
        <v>17</v>
      </c>
      <c r="H62" s="10" t="s">
        <v>95</v>
      </c>
      <c r="I62" s="10" t="s">
        <v>22</v>
      </c>
      <c r="J62" s="10"/>
    </row>
    <row r="63" customFormat="false" ht="25.35" hidden="false" customHeight="false" outlineLevel="0" collapsed="false">
      <c r="A63" s="22" t="s">
        <v>244</v>
      </c>
      <c r="B63" s="12" t="s">
        <v>100</v>
      </c>
      <c r="C63" s="12" t="s">
        <v>245</v>
      </c>
      <c r="D63" s="12" t="s">
        <v>127</v>
      </c>
      <c r="E63" s="12" t="s">
        <v>17</v>
      </c>
      <c r="F63" s="23" t="n">
        <v>8</v>
      </c>
      <c r="G63" s="23" t="n">
        <v>16</v>
      </c>
      <c r="H63" s="12" t="s">
        <v>95</v>
      </c>
      <c r="I63" s="12" t="s">
        <v>22</v>
      </c>
      <c r="J63" s="12"/>
    </row>
    <row r="64" customFormat="false" ht="15" hidden="false" customHeight="false" outlineLevel="0" collapsed="false">
      <c r="A64" s="20" t="s">
        <v>246</v>
      </c>
      <c r="B64" s="10" t="s">
        <v>100</v>
      </c>
      <c r="C64" s="10" t="s">
        <v>247</v>
      </c>
      <c r="D64" s="10" t="s">
        <v>124</v>
      </c>
      <c r="E64" s="10" t="s">
        <v>18</v>
      </c>
      <c r="F64" s="21" t="n">
        <v>5</v>
      </c>
      <c r="G64" s="21" t="n">
        <v>17</v>
      </c>
      <c r="H64" s="10" t="s">
        <v>95</v>
      </c>
      <c r="I64" s="10" t="s">
        <v>22</v>
      </c>
      <c r="J64" s="10"/>
    </row>
    <row r="65" customFormat="false" ht="15" hidden="false" customHeight="false" outlineLevel="0" collapsed="false">
      <c r="A65" s="22" t="s">
        <v>248</v>
      </c>
      <c r="B65" s="12" t="s">
        <v>100</v>
      </c>
      <c r="C65" s="12" t="s">
        <v>249</v>
      </c>
      <c r="D65" s="12" t="s">
        <v>124</v>
      </c>
      <c r="E65" s="12" t="s">
        <v>17</v>
      </c>
      <c r="F65" s="23" t="n">
        <v>8</v>
      </c>
      <c r="G65" s="23" t="n">
        <v>17</v>
      </c>
      <c r="H65" s="12" t="s">
        <v>95</v>
      </c>
      <c r="I65" s="12" t="s">
        <v>22</v>
      </c>
      <c r="J65" s="12"/>
    </row>
    <row r="66" customFormat="false" ht="15" hidden="false" customHeight="false" outlineLevel="0" collapsed="false">
      <c r="A66" s="20" t="s">
        <v>250</v>
      </c>
      <c r="B66" s="10" t="s">
        <v>100</v>
      </c>
      <c r="C66" s="10" t="s">
        <v>251</v>
      </c>
      <c r="D66" s="10" t="s">
        <v>124</v>
      </c>
      <c r="E66" s="10" t="s">
        <v>18</v>
      </c>
      <c r="F66" s="21" t="n">
        <v>5</v>
      </c>
      <c r="G66" s="21" t="n">
        <v>18</v>
      </c>
      <c r="H66" s="10" t="s">
        <v>95</v>
      </c>
      <c r="I66" s="10" t="s">
        <v>22</v>
      </c>
      <c r="J66" s="10"/>
    </row>
    <row r="67" customFormat="false" ht="25.35" hidden="false" customHeight="false" outlineLevel="0" collapsed="false">
      <c r="A67" s="22" t="s">
        <v>252</v>
      </c>
      <c r="B67" s="12" t="s">
        <v>102</v>
      </c>
      <c r="C67" s="12" t="s">
        <v>253</v>
      </c>
      <c r="D67" s="12" t="s">
        <v>127</v>
      </c>
      <c r="E67" s="12" t="s">
        <v>18</v>
      </c>
      <c r="F67" s="23" t="n">
        <v>5</v>
      </c>
      <c r="G67" s="23" t="n">
        <v>17</v>
      </c>
      <c r="H67" s="12" t="s">
        <v>95</v>
      </c>
      <c r="I67" s="12" t="s">
        <v>22</v>
      </c>
      <c r="J67" s="12"/>
    </row>
    <row r="68" customFormat="false" ht="15" hidden="false" customHeight="false" outlineLevel="0" collapsed="false">
      <c r="A68" s="20" t="s">
        <v>254</v>
      </c>
      <c r="B68" s="10" t="s">
        <v>102</v>
      </c>
      <c r="C68" s="10" t="s">
        <v>255</v>
      </c>
      <c r="D68" s="10" t="s">
        <v>127</v>
      </c>
      <c r="E68" s="10" t="s">
        <v>18</v>
      </c>
      <c r="F68" s="21" t="n">
        <v>3</v>
      </c>
      <c r="G68" s="21" t="n">
        <v>18</v>
      </c>
      <c r="H68" s="10" t="s">
        <v>95</v>
      </c>
      <c r="I68" s="10" t="s">
        <v>22</v>
      </c>
      <c r="J68" s="10"/>
    </row>
    <row r="69" customFormat="false" ht="15" hidden="false" customHeight="false" outlineLevel="0" collapsed="false">
      <c r="A69" s="22" t="s">
        <v>256</v>
      </c>
      <c r="B69" s="12" t="s">
        <v>104</v>
      </c>
      <c r="C69" s="12" t="s">
        <v>257</v>
      </c>
      <c r="D69" s="12" t="s">
        <v>127</v>
      </c>
      <c r="E69" s="12" t="s">
        <v>16</v>
      </c>
      <c r="F69" s="23" t="n">
        <v>8</v>
      </c>
      <c r="G69" s="23" t="n">
        <v>16</v>
      </c>
      <c r="H69" s="12" t="s">
        <v>95</v>
      </c>
      <c r="I69" s="12" t="s">
        <v>22</v>
      </c>
      <c r="J69" s="12"/>
    </row>
    <row r="70" customFormat="false" ht="15" hidden="false" customHeight="false" outlineLevel="0" collapsed="false">
      <c r="A70" s="20" t="s">
        <v>258</v>
      </c>
      <c r="B70" s="10" t="s">
        <v>104</v>
      </c>
      <c r="C70" s="10" t="s">
        <v>259</v>
      </c>
      <c r="D70" s="10" t="s">
        <v>127</v>
      </c>
      <c r="E70" s="10" t="s">
        <v>16</v>
      </c>
      <c r="F70" s="21" t="n">
        <v>5</v>
      </c>
      <c r="G70" s="21" t="n">
        <v>17</v>
      </c>
      <c r="H70" s="10" t="s">
        <v>95</v>
      </c>
      <c r="I70" s="10" t="s">
        <v>22</v>
      </c>
      <c r="J70" s="10"/>
    </row>
    <row r="71" customFormat="false" ht="15" hidden="false" customHeight="false" outlineLevel="0" collapsed="false">
      <c r="A71" s="22" t="s">
        <v>260</v>
      </c>
      <c r="B71" s="12" t="s">
        <v>104</v>
      </c>
      <c r="C71" s="12" t="s">
        <v>261</v>
      </c>
      <c r="D71" s="12" t="s">
        <v>127</v>
      </c>
      <c r="E71" s="12" t="s">
        <v>16</v>
      </c>
      <c r="F71" s="23" t="n">
        <v>8</v>
      </c>
      <c r="G71" s="23" t="n">
        <v>17</v>
      </c>
      <c r="H71" s="12" t="s">
        <v>95</v>
      </c>
      <c r="I71" s="12" t="s">
        <v>22</v>
      </c>
      <c r="J71" s="12"/>
    </row>
    <row r="72" customFormat="false" ht="15" hidden="false" customHeight="false" outlineLevel="0" collapsed="false">
      <c r="A72" s="20" t="s">
        <v>262</v>
      </c>
      <c r="B72" s="10" t="s">
        <v>104</v>
      </c>
      <c r="C72" s="10" t="s">
        <v>263</v>
      </c>
      <c r="D72" s="10" t="s">
        <v>156</v>
      </c>
      <c r="E72" s="10" t="s">
        <v>16</v>
      </c>
      <c r="F72" s="21" t="n">
        <v>5</v>
      </c>
      <c r="G72" s="21" t="n">
        <v>18</v>
      </c>
      <c r="H72" s="10" t="s">
        <v>95</v>
      </c>
      <c r="I72" s="10" t="s">
        <v>22</v>
      </c>
      <c r="J72" s="10"/>
    </row>
    <row r="73" customFormat="false" ht="15" hidden="false" customHeight="false" outlineLevel="0" collapsed="false">
      <c r="A73" s="22" t="s">
        <v>264</v>
      </c>
      <c r="B73" s="12" t="s">
        <v>104</v>
      </c>
      <c r="C73" s="12" t="s">
        <v>265</v>
      </c>
      <c r="D73" s="12" t="s">
        <v>127</v>
      </c>
      <c r="E73" s="12" t="s">
        <v>17</v>
      </c>
      <c r="F73" s="23" t="n">
        <v>5</v>
      </c>
      <c r="G73" s="23" t="n">
        <v>18</v>
      </c>
      <c r="H73" s="12" t="s">
        <v>95</v>
      </c>
      <c r="I73" s="12" t="s">
        <v>22</v>
      </c>
      <c r="J73" s="12"/>
    </row>
    <row r="74" customFormat="false" ht="15" hidden="false" customHeight="false" outlineLevel="0" collapsed="false">
      <c r="A74" s="20" t="s">
        <v>266</v>
      </c>
      <c r="B74" s="10" t="s">
        <v>106</v>
      </c>
      <c r="C74" s="10" t="s">
        <v>267</v>
      </c>
      <c r="D74" s="10" t="s">
        <v>268</v>
      </c>
      <c r="E74" s="10" t="s">
        <v>17</v>
      </c>
      <c r="F74" s="21" t="n">
        <v>5</v>
      </c>
      <c r="G74" s="21" t="n">
        <v>18</v>
      </c>
      <c r="H74" s="10" t="s">
        <v>108</v>
      </c>
      <c r="I74" s="10" t="s">
        <v>22</v>
      </c>
      <c r="J74" s="10"/>
    </row>
    <row r="75" customFormat="false" ht="15" hidden="false" customHeight="false" outlineLevel="0" collapsed="false">
      <c r="A75" s="22" t="s">
        <v>269</v>
      </c>
      <c r="B75" s="12" t="s">
        <v>106</v>
      </c>
      <c r="C75" s="12" t="s">
        <v>270</v>
      </c>
      <c r="D75" s="12" t="s">
        <v>268</v>
      </c>
      <c r="E75" s="12" t="s">
        <v>17</v>
      </c>
      <c r="F75" s="23" t="n">
        <v>8</v>
      </c>
      <c r="G75" s="23" t="n">
        <v>19</v>
      </c>
      <c r="H75" s="12" t="s">
        <v>108</v>
      </c>
      <c r="I75" s="12" t="s">
        <v>22</v>
      </c>
      <c r="J75" s="12"/>
    </row>
    <row r="76" customFormat="false" ht="15" hidden="false" customHeight="false" outlineLevel="0" collapsed="false">
      <c r="A76" s="20" t="s">
        <v>271</v>
      </c>
      <c r="B76" s="10" t="s">
        <v>106</v>
      </c>
      <c r="C76" s="10" t="s">
        <v>272</v>
      </c>
      <c r="D76" s="10" t="s">
        <v>268</v>
      </c>
      <c r="E76" s="10" t="s">
        <v>17</v>
      </c>
      <c r="F76" s="21" t="n">
        <v>8</v>
      </c>
      <c r="G76" s="21" t="n">
        <v>19</v>
      </c>
      <c r="H76" s="10" t="s">
        <v>108</v>
      </c>
      <c r="I76" s="10" t="s">
        <v>22</v>
      </c>
      <c r="J76" s="10"/>
    </row>
    <row r="77" customFormat="false" ht="15" hidden="false" customHeight="false" outlineLevel="0" collapsed="false">
      <c r="A77" s="22" t="s">
        <v>273</v>
      </c>
      <c r="B77" s="12" t="s">
        <v>106</v>
      </c>
      <c r="C77" s="12" t="s">
        <v>274</v>
      </c>
      <c r="D77" s="12" t="s">
        <v>268</v>
      </c>
      <c r="E77" s="12" t="s">
        <v>18</v>
      </c>
      <c r="F77" s="23" t="n">
        <v>5</v>
      </c>
      <c r="G77" s="23" t="n">
        <v>20</v>
      </c>
      <c r="H77" s="12" t="s">
        <v>108</v>
      </c>
      <c r="I77" s="12" t="s">
        <v>22</v>
      </c>
      <c r="J77" s="12"/>
    </row>
    <row r="78" customFormat="false" ht="15" hidden="false" customHeight="false" outlineLevel="0" collapsed="false">
      <c r="A78" s="20" t="s">
        <v>275</v>
      </c>
      <c r="B78" s="10" t="s">
        <v>106</v>
      </c>
      <c r="C78" s="10" t="s">
        <v>276</v>
      </c>
      <c r="D78" s="10" t="s">
        <v>268</v>
      </c>
      <c r="E78" s="10" t="s">
        <v>17</v>
      </c>
      <c r="F78" s="21" t="n">
        <v>8</v>
      </c>
      <c r="G78" s="21" t="n">
        <v>20</v>
      </c>
      <c r="H78" s="10" t="s">
        <v>108</v>
      </c>
      <c r="I78" s="10" t="s">
        <v>22</v>
      </c>
      <c r="J78" s="10"/>
    </row>
    <row r="79" customFormat="false" ht="15" hidden="false" customHeight="false" outlineLevel="0" collapsed="false">
      <c r="A79" s="22" t="s">
        <v>277</v>
      </c>
      <c r="B79" s="12" t="s">
        <v>106</v>
      </c>
      <c r="C79" s="12" t="s">
        <v>278</v>
      </c>
      <c r="D79" s="12" t="s">
        <v>268</v>
      </c>
      <c r="E79" s="12" t="s">
        <v>18</v>
      </c>
      <c r="F79" s="23" t="n">
        <v>5</v>
      </c>
      <c r="G79" s="23" t="n">
        <v>20</v>
      </c>
      <c r="H79" s="12" t="s">
        <v>108</v>
      </c>
      <c r="I79" s="12" t="s">
        <v>22</v>
      </c>
      <c r="J79" s="12"/>
    </row>
    <row r="80" customFormat="false" ht="15" hidden="false" customHeight="false" outlineLevel="0" collapsed="false">
      <c r="A80" s="20" t="s">
        <v>279</v>
      </c>
      <c r="B80" s="10" t="s">
        <v>77</v>
      </c>
      <c r="C80" s="10" t="s">
        <v>280</v>
      </c>
      <c r="D80" s="10" t="s">
        <v>127</v>
      </c>
      <c r="E80" s="10" t="s">
        <v>16</v>
      </c>
      <c r="F80" s="21" t="n">
        <v>8</v>
      </c>
      <c r="G80" s="21" t="n">
        <v>19</v>
      </c>
      <c r="H80" s="10" t="s">
        <v>108</v>
      </c>
      <c r="I80" s="10" t="s">
        <v>22</v>
      </c>
      <c r="J80" s="10"/>
    </row>
    <row r="81" customFormat="false" ht="15" hidden="false" customHeight="false" outlineLevel="0" collapsed="false">
      <c r="A81" s="22" t="s">
        <v>281</v>
      </c>
      <c r="B81" s="12" t="s">
        <v>77</v>
      </c>
      <c r="C81" s="12" t="s">
        <v>282</v>
      </c>
      <c r="D81" s="12" t="s">
        <v>132</v>
      </c>
      <c r="E81" s="12" t="s">
        <v>16</v>
      </c>
      <c r="F81" s="23" t="n">
        <v>8</v>
      </c>
      <c r="G81" s="23" t="n">
        <v>21</v>
      </c>
      <c r="H81" s="12" t="s">
        <v>108</v>
      </c>
      <c r="I81" s="12" t="s">
        <v>22</v>
      </c>
      <c r="J81" s="12"/>
    </row>
    <row r="82" customFormat="false" ht="15" hidden="false" customHeight="false" outlineLevel="0" collapsed="false">
      <c r="A82" s="20" t="s">
        <v>283</v>
      </c>
      <c r="B82" s="10" t="s">
        <v>109</v>
      </c>
      <c r="C82" s="10" t="s">
        <v>284</v>
      </c>
      <c r="D82" s="10" t="s">
        <v>124</v>
      </c>
      <c r="E82" s="10" t="s">
        <v>16</v>
      </c>
      <c r="F82" s="21" t="n">
        <v>8</v>
      </c>
      <c r="G82" s="21" t="n">
        <v>21</v>
      </c>
      <c r="H82" s="10" t="s">
        <v>111</v>
      </c>
      <c r="I82" s="10" t="s">
        <v>22</v>
      </c>
      <c r="J82" s="10"/>
    </row>
    <row r="83" customFormat="false" ht="15" hidden="false" customHeight="false" outlineLevel="0" collapsed="false">
      <c r="A83" s="22" t="s">
        <v>285</v>
      </c>
      <c r="B83" s="12" t="s">
        <v>109</v>
      </c>
      <c r="C83" s="12" t="s">
        <v>286</v>
      </c>
      <c r="D83" s="12" t="s">
        <v>124</v>
      </c>
      <c r="E83" s="12" t="s">
        <v>16</v>
      </c>
      <c r="F83" s="23" t="n">
        <v>8</v>
      </c>
      <c r="G83" s="23" t="n">
        <v>22</v>
      </c>
      <c r="H83" s="12" t="s">
        <v>111</v>
      </c>
      <c r="I83" s="12" t="s">
        <v>22</v>
      </c>
      <c r="J83" s="12"/>
    </row>
    <row r="84" customFormat="false" ht="15" hidden="false" customHeight="false" outlineLevel="0" collapsed="false">
      <c r="A84" s="20" t="s">
        <v>287</v>
      </c>
      <c r="B84" s="10" t="s">
        <v>109</v>
      </c>
      <c r="C84" s="10" t="s">
        <v>288</v>
      </c>
      <c r="D84" s="10" t="s">
        <v>124</v>
      </c>
      <c r="E84" s="10" t="s">
        <v>17</v>
      </c>
      <c r="F84" s="21" t="n">
        <v>5</v>
      </c>
      <c r="G84" s="21" t="n">
        <v>22</v>
      </c>
      <c r="H84" s="10" t="s">
        <v>111</v>
      </c>
      <c r="I84" s="10" t="s">
        <v>22</v>
      </c>
      <c r="J84" s="10"/>
    </row>
    <row r="85" customFormat="false" ht="15" hidden="false" customHeight="false" outlineLevel="0" collapsed="false">
      <c r="A85" s="22" t="s">
        <v>289</v>
      </c>
      <c r="B85" s="12" t="s">
        <v>109</v>
      </c>
      <c r="C85" s="12" t="s">
        <v>290</v>
      </c>
      <c r="D85" s="12" t="s">
        <v>124</v>
      </c>
      <c r="E85" s="12" t="s">
        <v>17</v>
      </c>
      <c r="F85" s="23" t="n">
        <v>5</v>
      </c>
      <c r="G85" s="23" t="n">
        <v>23</v>
      </c>
      <c r="H85" s="12" t="s">
        <v>111</v>
      </c>
      <c r="I85" s="12" t="s">
        <v>22</v>
      </c>
      <c r="J85" s="12"/>
    </row>
    <row r="86" customFormat="false" ht="15" hidden="false" customHeight="false" outlineLevel="0" collapsed="false">
      <c r="A86" s="20" t="s">
        <v>291</v>
      </c>
      <c r="B86" s="10" t="s">
        <v>109</v>
      </c>
      <c r="C86" s="10" t="s">
        <v>292</v>
      </c>
      <c r="D86" s="10" t="s">
        <v>124</v>
      </c>
      <c r="E86" s="10" t="s">
        <v>16</v>
      </c>
      <c r="F86" s="21" t="n">
        <v>8</v>
      </c>
      <c r="G86" s="21" t="n">
        <v>23</v>
      </c>
      <c r="H86" s="10" t="s">
        <v>111</v>
      </c>
      <c r="I86" s="10" t="s">
        <v>22</v>
      </c>
      <c r="J86" s="10"/>
    </row>
    <row r="87" customFormat="false" ht="15" hidden="false" customHeight="false" outlineLevel="0" collapsed="false">
      <c r="A87" s="22" t="s">
        <v>293</v>
      </c>
      <c r="B87" s="12" t="s">
        <v>109</v>
      </c>
      <c r="C87" s="12" t="s">
        <v>294</v>
      </c>
      <c r="D87" s="12" t="s">
        <v>124</v>
      </c>
      <c r="E87" s="12" t="s">
        <v>18</v>
      </c>
      <c r="F87" s="23" t="n">
        <v>5</v>
      </c>
      <c r="G87" s="23" t="n">
        <v>24</v>
      </c>
      <c r="H87" s="12" t="s">
        <v>111</v>
      </c>
      <c r="I87" s="12" t="s">
        <v>22</v>
      </c>
      <c r="J87" s="12"/>
    </row>
    <row r="88" customFormat="false" ht="15" hidden="false" customHeight="false" outlineLevel="0" collapsed="false">
      <c r="A88" s="20" t="s">
        <v>295</v>
      </c>
      <c r="B88" s="10" t="s">
        <v>112</v>
      </c>
      <c r="C88" s="10" t="s">
        <v>296</v>
      </c>
      <c r="D88" s="10" t="s">
        <v>124</v>
      </c>
      <c r="E88" s="10" t="s">
        <v>16</v>
      </c>
      <c r="F88" s="21" t="n">
        <v>5</v>
      </c>
      <c r="G88" s="21" t="n">
        <v>25</v>
      </c>
      <c r="H88" s="10" t="s">
        <v>114</v>
      </c>
      <c r="I88" s="10" t="s">
        <v>22</v>
      </c>
      <c r="J88" s="10"/>
    </row>
    <row r="89" customFormat="false" ht="15" hidden="false" customHeight="false" outlineLevel="0" collapsed="false">
      <c r="A89" s="22" t="s">
        <v>297</v>
      </c>
      <c r="B89" s="12" t="s">
        <v>112</v>
      </c>
      <c r="C89" s="12" t="s">
        <v>298</v>
      </c>
      <c r="D89" s="12" t="s">
        <v>132</v>
      </c>
      <c r="E89" s="12" t="s">
        <v>16</v>
      </c>
      <c r="F89" s="23" t="n">
        <v>5</v>
      </c>
      <c r="G89" s="23" t="n">
        <v>25</v>
      </c>
      <c r="H89" s="12" t="s">
        <v>114</v>
      </c>
      <c r="I89" s="12" t="s">
        <v>22</v>
      </c>
      <c r="J89" s="12"/>
    </row>
    <row r="90" customFormat="false" ht="15" hidden="false" customHeight="false" outlineLevel="0" collapsed="false">
      <c r="A90" s="20" t="s">
        <v>299</v>
      </c>
      <c r="B90" s="10" t="s">
        <v>112</v>
      </c>
      <c r="C90" s="10" t="s">
        <v>300</v>
      </c>
      <c r="D90" s="10" t="s">
        <v>124</v>
      </c>
      <c r="E90" s="10" t="s">
        <v>16</v>
      </c>
      <c r="F90" s="21" t="n">
        <v>3</v>
      </c>
      <c r="G90" s="21" t="n">
        <v>25</v>
      </c>
      <c r="H90" s="10" t="s">
        <v>114</v>
      </c>
      <c r="I90" s="10" t="s">
        <v>22</v>
      </c>
      <c r="J90" s="10"/>
    </row>
    <row r="91" customFormat="false" ht="25.35" hidden="false" customHeight="false" outlineLevel="0" collapsed="false">
      <c r="A91" s="22" t="s">
        <v>301</v>
      </c>
      <c r="B91" s="12" t="s">
        <v>112</v>
      </c>
      <c r="C91" s="12" t="s">
        <v>302</v>
      </c>
      <c r="D91" s="12" t="s">
        <v>303</v>
      </c>
      <c r="E91" s="12" t="s">
        <v>18</v>
      </c>
      <c r="F91" s="23" t="n">
        <v>3</v>
      </c>
      <c r="G91" s="23" t="n">
        <v>25</v>
      </c>
      <c r="H91" s="12" t="s">
        <v>304</v>
      </c>
      <c r="I91" s="12" t="s">
        <v>22</v>
      </c>
      <c r="J91" s="12"/>
    </row>
  </sheetData>
  <conditionalFormatting sqref="I6:I91">
    <cfRule type="cellIs" priority="2" operator="equal" aboveAverage="0" equalAverage="0" bottom="0" percent="0" rank="0" text="" dxfId="0">
      <formula>"Done"</formula>
    </cfRule>
    <cfRule type="cellIs" priority="3" operator="equal" aboveAverage="0" equalAverage="0" bottom="0" percent="0" rank="0" text="" dxfId="1">
      <formula>"Blocked"</formula>
    </cfRule>
    <cfRule type="cellIs" priority="4" operator="equal" aboveAverage="0" equalAverage="0" bottom="0" percent="0" rank="0" text="" dxfId="2">
      <formula>"In Progress"</formula>
    </cfRule>
  </conditionalFormatting>
  <conditionalFormatting sqref="E6:E91">
    <cfRule type="cellIs" priority="5" operator="equal" aboveAverage="0" equalAverage="0" bottom="0" percent="0" rank="0" text="" dxfId="3">
      <formula>"P0 - Critical"</formula>
    </cfRule>
  </conditionalFormatting>
  <dataValidations count="1">
    <dataValidation allowBlank="false" errorStyle="stop" operator="between" showDropDown="false" showErrorMessage="false" showInputMessage="false" sqref="I6:I91" type="list">
      <formula1>"Not Started,In Progress,Done,Blocked"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2026-08-03T13:37:04Z</dcterms:created>
  <dc:creator>openpyxl</dc:creator>
  <dc:description/>
  <dc:language>en-US</dc:language>
  <cp:lastModifiedBy/>
  <dcterms:modified xsi:type="dcterms:W3CDTF">2026-08-03T13:37:05Z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